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b7d6b166735ed6f/ドキュメント/01仕事関係/00自宅での作業/20260426_少年女性防火委員会_防火ポスター/Ｒ8年度/防火ポスター/★R8年度_次期入力案/"/>
    </mc:Choice>
  </mc:AlternateContent>
  <xr:revisionPtr revIDLastSave="40" documentId="13_ncr:1_{75A9025B-71DF-4E7A-B278-9BCBD29AA5DF}" xr6:coauthVersionLast="47" xr6:coauthVersionMax="47" xr10:uidLastSave="{278F452C-B545-493E-81BA-68D3C8ACF142}"/>
  <bookViews>
    <workbookView xWindow="-120" yWindow="-120" windowWidth="29040" windowHeight="15720" activeTab="1" xr2:uid="{00000000-000D-0000-FFFF-FFFF00000000}"/>
  </bookViews>
  <sheets>
    <sheet name="はじめに" sheetId="1" r:id="rId1"/>
    <sheet name="応募者入力" sheetId="2" r:id="rId2"/>
    <sheet name="名札印刷" sheetId="3" r:id="rId3"/>
    <sheet name="名簿" sheetId="4" r:id="rId4"/>
    <sheet name="集計" sheetId="5" r:id="rId5"/>
    <sheet name="設定" sheetId="6" r:id="rId6"/>
    <sheet name="使い方" sheetId="7" r:id="rId7"/>
  </sheets>
  <definedNames>
    <definedName name="_xlnm.Print_Area" localSheetId="2">名札印刷!$A$1:INDEX(名札印刷!$C:$C,MAX(1,COUNTA(応募者入力!$F$5:$F$104)*10))</definedName>
    <definedName name="小学校">応募者入力!$E$55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E12" i="5"/>
  <c r="D12" i="5"/>
  <c r="C12" i="5"/>
  <c r="E11" i="5"/>
  <c r="D11" i="5"/>
  <c r="C11" i="5"/>
  <c r="E10" i="5"/>
  <c r="D10" i="5"/>
  <c r="C10" i="5"/>
  <c r="C9" i="5"/>
  <c r="E8" i="5"/>
  <c r="D8" i="5"/>
  <c r="C8" i="5"/>
  <c r="E7" i="5"/>
  <c r="D7" i="5"/>
  <c r="C7" i="5"/>
  <c r="E6" i="5"/>
  <c r="C6" i="5"/>
  <c r="C5" i="5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A10" i="4"/>
  <c r="G9" i="4"/>
  <c r="F9" i="4"/>
  <c r="E9" i="4"/>
  <c r="A9" i="4"/>
  <c r="G8" i="4"/>
  <c r="F8" i="4"/>
  <c r="E8" i="4"/>
  <c r="A8" i="4"/>
  <c r="G7" i="4"/>
  <c r="F7" i="4"/>
  <c r="E7" i="4"/>
  <c r="A7" i="4"/>
  <c r="G6" i="4"/>
  <c r="F6" i="4"/>
  <c r="E6" i="4"/>
  <c r="A6" i="4"/>
  <c r="G5" i="4"/>
  <c r="F5" i="4"/>
  <c r="E5" i="4"/>
  <c r="A5" i="4"/>
  <c r="G4" i="4"/>
  <c r="F4" i="4"/>
  <c r="E4" i="4"/>
  <c r="A4" i="4"/>
  <c r="C999" i="3"/>
  <c r="C998" i="3"/>
  <c r="C997" i="3"/>
  <c r="C995" i="3"/>
  <c r="C994" i="3"/>
  <c r="C993" i="3"/>
  <c r="C989" i="3"/>
  <c r="C988" i="3"/>
  <c r="C987" i="3"/>
  <c r="C985" i="3"/>
  <c r="C984" i="3"/>
  <c r="C983" i="3"/>
  <c r="C979" i="3"/>
  <c r="C978" i="3"/>
  <c r="C977" i="3"/>
  <c r="C975" i="3"/>
  <c r="C974" i="3"/>
  <c r="C973" i="3"/>
  <c r="C969" i="3"/>
  <c r="C968" i="3"/>
  <c r="C967" i="3"/>
  <c r="C965" i="3"/>
  <c r="C964" i="3"/>
  <c r="C963" i="3"/>
  <c r="C959" i="3"/>
  <c r="C958" i="3"/>
  <c r="C957" i="3"/>
  <c r="C955" i="3"/>
  <c r="C954" i="3"/>
  <c r="C953" i="3"/>
  <c r="C949" i="3"/>
  <c r="C948" i="3"/>
  <c r="C947" i="3"/>
  <c r="C945" i="3"/>
  <c r="C944" i="3"/>
  <c r="C943" i="3"/>
  <c r="C939" i="3"/>
  <c r="C938" i="3"/>
  <c r="C937" i="3"/>
  <c r="C935" i="3"/>
  <c r="C934" i="3"/>
  <c r="C933" i="3"/>
  <c r="C929" i="3"/>
  <c r="C928" i="3"/>
  <c r="C927" i="3"/>
  <c r="C925" i="3"/>
  <c r="C924" i="3"/>
  <c r="C923" i="3"/>
  <c r="C919" i="3"/>
  <c r="C918" i="3"/>
  <c r="C917" i="3"/>
  <c r="C915" i="3"/>
  <c r="C914" i="3"/>
  <c r="C913" i="3"/>
  <c r="C909" i="3"/>
  <c r="C908" i="3"/>
  <c r="C907" i="3"/>
  <c r="C905" i="3"/>
  <c r="C904" i="3"/>
  <c r="C903" i="3"/>
  <c r="C899" i="3"/>
  <c r="C898" i="3"/>
  <c r="C897" i="3"/>
  <c r="C895" i="3"/>
  <c r="C894" i="3"/>
  <c r="C893" i="3"/>
  <c r="C889" i="3"/>
  <c r="C888" i="3"/>
  <c r="C887" i="3"/>
  <c r="C885" i="3"/>
  <c r="C884" i="3"/>
  <c r="C883" i="3"/>
  <c r="C879" i="3"/>
  <c r="C878" i="3"/>
  <c r="C877" i="3"/>
  <c r="C875" i="3"/>
  <c r="C874" i="3"/>
  <c r="C873" i="3"/>
  <c r="C869" i="3"/>
  <c r="C868" i="3"/>
  <c r="C867" i="3"/>
  <c r="C865" i="3"/>
  <c r="C864" i="3"/>
  <c r="C863" i="3"/>
  <c r="C859" i="3"/>
  <c r="C858" i="3"/>
  <c r="C857" i="3"/>
  <c r="C855" i="3"/>
  <c r="C854" i="3"/>
  <c r="C853" i="3"/>
  <c r="C849" i="3"/>
  <c r="C848" i="3"/>
  <c r="C847" i="3"/>
  <c r="C845" i="3"/>
  <c r="C844" i="3"/>
  <c r="C843" i="3"/>
  <c r="C839" i="3"/>
  <c r="C838" i="3"/>
  <c r="C837" i="3"/>
  <c r="C835" i="3"/>
  <c r="C834" i="3"/>
  <c r="C833" i="3"/>
  <c r="C829" i="3"/>
  <c r="C828" i="3"/>
  <c r="C827" i="3"/>
  <c r="C825" i="3"/>
  <c r="C824" i="3"/>
  <c r="C823" i="3"/>
  <c r="C819" i="3"/>
  <c r="C818" i="3"/>
  <c r="C817" i="3"/>
  <c r="C815" i="3"/>
  <c r="C814" i="3"/>
  <c r="C813" i="3"/>
  <c r="C809" i="3"/>
  <c r="C808" i="3"/>
  <c r="C807" i="3"/>
  <c r="C805" i="3"/>
  <c r="C804" i="3"/>
  <c r="C803" i="3"/>
  <c r="C799" i="3"/>
  <c r="C798" i="3"/>
  <c r="C797" i="3"/>
  <c r="C795" i="3"/>
  <c r="C794" i="3"/>
  <c r="C793" i="3"/>
  <c r="C789" i="3"/>
  <c r="C788" i="3"/>
  <c r="C787" i="3"/>
  <c r="C785" i="3"/>
  <c r="C784" i="3"/>
  <c r="C783" i="3"/>
  <c r="C779" i="3"/>
  <c r="C778" i="3"/>
  <c r="C777" i="3"/>
  <c r="C775" i="3"/>
  <c r="C774" i="3"/>
  <c r="C773" i="3"/>
  <c r="C769" i="3"/>
  <c r="C768" i="3"/>
  <c r="C767" i="3"/>
  <c r="C765" i="3"/>
  <c r="C764" i="3"/>
  <c r="C763" i="3"/>
  <c r="C759" i="3"/>
  <c r="C758" i="3"/>
  <c r="C757" i="3"/>
  <c r="C755" i="3"/>
  <c r="C754" i="3"/>
  <c r="C753" i="3"/>
  <c r="C749" i="3"/>
  <c r="C748" i="3"/>
  <c r="C747" i="3"/>
  <c r="C745" i="3"/>
  <c r="C744" i="3"/>
  <c r="C743" i="3"/>
  <c r="C739" i="3"/>
  <c r="C738" i="3"/>
  <c r="C737" i="3"/>
  <c r="C735" i="3"/>
  <c r="C734" i="3"/>
  <c r="C733" i="3"/>
  <c r="C729" i="3"/>
  <c r="C728" i="3"/>
  <c r="C727" i="3"/>
  <c r="C725" i="3"/>
  <c r="C724" i="3"/>
  <c r="C723" i="3"/>
  <c r="C719" i="3"/>
  <c r="C718" i="3"/>
  <c r="C717" i="3"/>
  <c r="C715" i="3"/>
  <c r="C714" i="3"/>
  <c r="C713" i="3"/>
  <c r="C709" i="3"/>
  <c r="C708" i="3"/>
  <c r="C707" i="3"/>
  <c r="C705" i="3"/>
  <c r="C704" i="3"/>
  <c r="C703" i="3"/>
  <c r="C699" i="3"/>
  <c r="C698" i="3"/>
  <c r="C697" i="3"/>
  <c r="C695" i="3"/>
  <c r="C694" i="3"/>
  <c r="C693" i="3"/>
  <c r="C689" i="3"/>
  <c r="C688" i="3"/>
  <c r="C687" i="3"/>
  <c r="C685" i="3"/>
  <c r="C684" i="3"/>
  <c r="C683" i="3"/>
  <c r="C679" i="3"/>
  <c r="C678" i="3"/>
  <c r="C677" i="3"/>
  <c r="C675" i="3"/>
  <c r="C674" i="3"/>
  <c r="C673" i="3"/>
  <c r="C669" i="3"/>
  <c r="C668" i="3"/>
  <c r="C667" i="3"/>
  <c r="C665" i="3"/>
  <c r="C664" i="3"/>
  <c r="C663" i="3"/>
  <c r="C659" i="3"/>
  <c r="C658" i="3"/>
  <c r="C657" i="3"/>
  <c r="C655" i="3"/>
  <c r="C654" i="3"/>
  <c r="C653" i="3"/>
  <c r="C649" i="3"/>
  <c r="C648" i="3"/>
  <c r="C647" i="3"/>
  <c r="C645" i="3"/>
  <c r="C644" i="3"/>
  <c r="C643" i="3"/>
  <c r="C639" i="3"/>
  <c r="C638" i="3"/>
  <c r="C637" i="3"/>
  <c r="C635" i="3"/>
  <c r="C634" i="3"/>
  <c r="C633" i="3"/>
  <c r="C629" i="3"/>
  <c r="C628" i="3"/>
  <c r="C627" i="3"/>
  <c r="C625" i="3"/>
  <c r="C624" i="3"/>
  <c r="C623" i="3"/>
  <c r="C619" i="3"/>
  <c r="C618" i="3"/>
  <c r="C617" i="3"/>
  <c r="C615" i="3"/>
  <c r="C614" i="3"/>
  <c r="C613" i="3"/>
  <c r="C609" i="3"/>
  <c r="C608" i="3"/>
  <c r="C607" i="3"/>
  <c r="C605" i="3"/>
  <c r="C604" i="3"/>
  <c r="C603" i="3"/>
  <c r="C599" i="3"/>
  <c r="C598" i="3"/>
  <c r="C597" i="3"/>
  <c r="C595" i="3"/>
  <c r="C594" i="3"/>
  <c r="C593" i="3"/>
  <c r="C589" i="3"/>
  <c r="C588" i="3"/>
  <c r="C587" i="3"/>
  <c r="C585" i="3"/>
  <c r="C584" i="3"/>
  <c r="C583" i="3"/>
  <c r="C579" i="3"/>
  <c r="C578" i="3"/>
  <c r="C577" i="3"/>
  <c r="C575" i="3"/>
  <c r="C574" i="3"/>
  <c r="C573" i="3"/>
  <c r="C569" i="3"/>
  <c r="C568" i="3"/>
  <c r="C567" i="3"/>
  <c r="C565" i="3"/>
  <c r="C564" i="3"/>
  <c r="C563" i="3"/>
  <c r="C559" i="3"/>
  <c r="C558" i="3"/>
  <c r="C557" i="3"/>
  <c r="C555" i="3"/>
  <c r="C554" i="3"/>
  <c r="C553" i="3"/>
  <c r="C549" i="3"/>
  <c r="C548" i="3"/>
  <c r="C547" i="3"/>
  <c r="C545" i="3"/>
  <c r="C544" i="3"/>
  <c r="C543" i="3"/>
  <c r="C539" i="3"/>
  <c r="C538" i="3"/>
  <c r="C537" i="3"/>
  <c r="C535" i="3"/>
  <c r="C534" i="3"/>
  <c r="C533" i="3"/>
  <c r="C529" i="3"/>
  <c r="C528" i="3"/>
  <c r="C527" i="3"/>
  <c r="C525" i="3"/>
  <c r="C524" i="3"/>
  <c r="C523" i="3"/>
  <c r="C519" i="3"/>
  <c r="C518" i="3"/>
  <c r="C517" i="3"/>
  <c r="C515" i="3"/>
  <c r="C514" i="3"/>
  <c r="C513" i="3"/>
  <c r="C509" i="3"/>
  <c r="C508" i="3"/>
  <c r="C507" i="3"/>
  <c r="C505" i="3"/>
  <c r="C504" i="3"/>
  <c r="C503" i="3"/>
  <c r="C499" i="3"/>
  <c r="C498" i="3"/>
  <c r="C497" i="3"/>
  <c r="C495" i="3"/>
  <c r="C494" i="3"/>
  <c r="C493" i="3"/>
  <c r="C489" i="3"/>
  <c r="C488" i="3"/>
  <c r="C487" i="3"/>
  <c r="C485" i="3"/>
  <c r="C484" i="3"/>
  <c r="C483" i="3"/>
  <c r="C479" i="3"/>
  <c r="C478" i="3"/>
  <c r="C477" i="3"/>
  <c r="C475" i="3"/>
  <c r="C474" i="3"/>
  <c r="C473" i="3"/>
  <c r="C469" i="3"/>
  <c r="C468" i="3"/>
  <c r="C467" i="3"/>
  <c r="C465" i="3"/>
  <c r="C464" i="3"/>
  <c r="C463" i="3"/>
  <c r="C459" i="3"/>
  <c r="C458" i="3"/>
  <c r="C457" i="3"/>
  <c r="C455" i="3"/>
  <c r="C454" i="3"/>
  <c r="C453" i="3"/>
  <c r="C449" i="3"/>
  <c r="C448" i="3"/>
  <c r="C447" i="3"/>
  <c r="C445" i="3"/>
  <c r="C444" i="3"/>
  <c r="C443" i="3"/>
  <c r="C439" i="3"/>
  <c r="C438" i="3"/>
  <c r="C437" i="3"/>
  <c r="C435" i="3"/>
  <c r="C434" i="3"/>
  <c r="C433" i="3"/>
  <c r="C429" i="3"/>
  <c r="C428" i="3"/>
  <c r="C427" i="3"/>
  <c r="C425" i="3"/>
  <c r="C424" i="3"/>
  <c r="C423" i="3"/>
  <c r="C419" i="3"/>
  <c r="C418" i="3"/>
  <c r="C417" i="3"/>
  <c r="C415" i="3"/>
  <c r="C414" i="3"/>
  <c r="C413" i="3"/>
  <c r="C409" i="3"/>
  <c r="C408" i="3"/>
  <c r="C407" i="3"/>
  <c r="C405" i="3"/>
  <c r="C404" i="3"/>
  <c r="C403" i="3"/>
  <c r="C399" i="3"/>
  <c r="C398" i="3"/>
  <c r="C397" i="3"/>
  <c r="C395" i="3"/>
  <c r="C394" i="3"/>
  <c r="C393" i="3"/>
  <c r="C389" i="3"/>
  <c r="C388" i="3"/>
  <c r="C387" i="3"/>
  <c r="C385" i="3"/>
  <c r="C384" i="3"/>
  <c r="C383" i="3"/>
  <c r="C379" i="3"/>
  <c r="C378" i="3"/>
  <c r="C377" i="3"/>
  <c r="C375" i="3"/>
  <c r="C374" i="3"/>
  <c r="C373" i="3"/>
  <c r="C369" i="3"/>
  <c r="C368" i="3"/>
  <c r="C367" i="3"/>
  <c r="C365" i="3"/>
  <c r="C364" i="3"/>
  <c r="C363" i="3"/>
  <c r="C359" i="3"/>
  <c r="C358" i="3"/>
  <c r="C357" i="3"/>
  <c r="C355" i="3"/>
  <c r="C354" i="3"/>
  <c r="C353" i="3"/>
  <c r="C349" i="3"/>
  <c r="C348" i="3"/>
  <c r="C347" i="3"/>
  <c r="C345" i="3"/>
  <c r="C344" i="3"/>
  <c r="C343" i="3"/>
  <c r="C339" i="3"/>
  <c r="C338" i="3"/>
  <c r="C337" i="3"/>
  <c r="C335" i="3"/>
  <c r="C334" i="3"/>
  <c r="C333" i="3"/>
  <c r="C329" i="3"/>
  <c r="C328" i="3"/>
  <c r="C327" i="3"/>
  <c r="C325" i="3"/>
  <c r="C324" i="3"/>
  <c r="C323" i="3"/>
  <c r="C319" i="3"/>
  <c r="C318" i="3"/>
  <c r="C317" i="3"/>
  <c r="C315" i="3"/>
  <c r="C314" i="3"/>
  <c r="C313" i="3"/>
  <c r="C309" i="3"/>
  <c r="C308" i="3"/>
  <c r="C307" i="3"/>
  <c r="C305" i="3"/>
  <c r="C304" i="3"/>
  <c r="C303" i="3"/>
  <c r="C299" i="3"/>
  <c r="C298" i="3"/>
  <c r="C297" i="3"/>
  <c r="C295" i="3"/>
  <c r="C294" i="3"/>
  <c r="C293" i="3"/>
  <c r="C289" i="3"/>
  <c r="C288" i="3"/>
  <c r="C287" i="3"/>
  <c r="C285" i="3"/>
  <c r="C284" i="3"/>
  <c r="C283" i="3"/>
  <c r="C279" i="3"/>
  <c r="C278" i="3"/>
  <c r="C277" i="3"/>
  <c r="C275" i="3"/>
  <c r="C274" i="3"/>
  <c r="C273" i="3"/>
  <c r="C269" i="3"/>
  <c r="C268" i="3"/>
  <c r="C267" i="3"/>
  <c r="C265" i="3"/>
  <c r="C264" i="3"/>
  <c r="C263" i="3"/>
  <c r="C259" i="3"/>
  <c r="C258" i="3"/>
  <c r="C257" i="3"/>
  <c r="C255" i="3"/>
  <c r="C254" i="3"/>
  <c r="C253" i="3"/>
  <c r="C249" i="3"/>
  <c r="C248" i="3"/>
  <c r="C247" i="3"/>
  <c r="C245" i="3"/>
  <c r="C244" i="3"/>
  <c r="C243" i="3"/>
  <c r="C239" i="3"/>
  <c r="C238" i="3"/>
  <c r="C237" i="3"/>
  <c r="C235" i="3"/>
  <c r="C234" i="3"/>
  <c r="C233" i="3"/>
  <c r="C229" i="3"/>
  <c r="C228" i="3"/>
  <c r="C227" i="3"/>
  <c r="C225" i="3"/>
  <c r="C224" i="3"/>
  <c r="C223" i="3"/>
  <c r="C219" i="3"/>
  <c r="C218" i="3"/>
  <c r="C217" i="3"/>
  <c r="C215" i="3"/>
  <c r="C214" i="3"/>
  <c r="C213" i="3"/>
  <c r="C209" i="3"/>
  <c r="C208" i="3"/>
  <c r="C207" i="3"/>
  <c r="C205" i="3"/>
  <c r="C204" i="3"/>
  <c r="C203" i="3"/>
  <c r="C199" i="3"/>
  <c r="C198" i="3"/>
  <c r="C197" i="3"/>
  <c r="C195" i="3"/>
  <c r="C194" i="3"/>
  <c r="C193" i="3"/>
  <c r="C189" i="3"/>
  <c r="C188" i="3"/>
  <c r="C187" i="3"/>
  <c r="C185" i="3"/>
  <c r="C184" i="3"/>
  <c r="C183" i="3"/>
  <c r="C179" i="3"/>
  <c r="C178" i="3"/>
  <c r="C177" i="3"/>
  <c r="C175" i="3"/>
  <c r="C174" i="3"/>
  <c r="C173" i="3"/>
  <c r="C169" i="3"/>
  <c r="C168" i="3"/>
  <c r="C167" i="3"/>
  <c r="C165" i="3"/>
  <c r="C164" i="3"/>
  <c r="C163" i="3"/>
  <c r="C159" i="3"/>
  <c r="C158" i="3"/>
  <c r="C157" i="3"/>
  <c r="C155" i="3"/>
  <c r="C154" i="3"/>
  <c r="C153" i="3"/>
  <c r="C149" i="3"/>
  <c r="C148" i="3"/>
  <c r="C147" i="3"/>
  <c r="C145" i="3"/>
  <c r="C144" i="3"/>
  <c r="C143" i="3"/>
  <c r="C139" i="3"/>
  <c r="C138" i="3"/>
  <c r="C137" i="3"/>
  <c r="C135" i="3"/>
  <c r="C134" i="3"/>
  <c r="C133" i="3"/>
  <c r="C129" i="3"/>
  <c r="C128" i="3"/>
  <c r="C127" i="3"/>
  <c r="C125" i="3"/>
  <c r="C124" i="3"/>
  <c r="C123" i="3"/>
  <c r="C119" i="3"/>
  <c r="C118" i="3"/>
  <c r="C117" i="3"/>
  <c r="C115" i="3"/>
  <c r="C114" i="3"/>
  <c r="C113" i="3"/>
  <c r="C109" i="3"/>
  <c r="C108" i="3"/>
  <c r="C107" i="3"/>
  <c r="C105" i="3"/>
  <c r="C104" i="3"/>
  <c r="C103" i="3"/>
  <c r="C99" i="3"/>
  <c r="C98" i="3"/>
  <c r="C97" i="3"/>
  <c r="C95" i="3"/>
  <c r="C94" i="3"/>
  <c r="C93" i="3"/>
  <c r="C89" i="3"/>
  <c r="C88" i="3"/>
  <c r="C87" i="3"/>
  <c r="C85" i="3"/>
  <c r="C84" i="3"/>
  <c r="C83" i="3"/>
  <c r="C79" i="3"/>
  <c r="C78" i="3"/>
  <c r="C77" i="3"/>
  <c r="C75" i="3"/>
  <c r="C74" i="3"/>
  <c r="C73" i="3"/>
  <c r="C69" i="3"/>
  <c r="C68" i="3"/>
  <c r="C67" i="3"/>
  <c r="C64" i="3"/>
  <c r="C59" i="3"/>
  <c r="C58" i="3"/>
  <c r="C57" i="3"/>
  <c r="C54" i="3"/>
  <c r="C49" i="3"/>
  <c r="C48" i="3"/>
  <c r="C47" i="3"/>
  <c r="C44" i="3"/>
  <c r="C39" i="3"/>
  <c r="C38" i="3"/>
  <c r="C37" i="3"/>
  <c r="C34" i="3"/>
  <c r="C29" i="3"/>
  <c r="C28" i="3"/>
  <c r="C27" i="3"/>
  <c r="C24" i="3"/>
  <c r="C19" i="3"/>
  <c r="C18" i="3"/>
  <c r="C17" i="3"/>
  <c r="C14" i="3"/>
  <c r="C9" i="3"/>
  <c r="C8" i="3"/>
  <c r="C7" i="3"/>
  <c r="C4" i="3"/>
  <c r="I104" i="2"/>
  <c r="J104" i="2" s="1"/>
  <c r="D104" i="2"/>
  <c r="C104" i="2"/>
  <c r="B104" i="2"/>
  <c r="I103" i="2"/>
  <c r="J103" i="2" s="1"/>
  <c r="D103" i="2"/>
  <c r="C103" i="2"/>
  <c r="B103" i="2"/>
  <c r="I102" i="2"/>
  <c r="J102" i="2" s="1"/>
  <c r="D102" i="2"/>
  <c r="C102" i="2"/>
  <c r="B102" i="2"/>
  <c r="I101" i="2"/>
  <c r="J101" i="2" s="1"/>
  <c r="D101" i="2"/>
  <c r="C101" i="2"/>
  <c r="B101" i="2"/>
  <c r="I100" i="2"/>
  <c r="J100" i="2" s="1"/>
  <c r="D100" i="2"/>
  <c r="C100" i="2"/>
  <c r="B100" i="2"/>
  <c r="I99" i="2"/>
  <c r="J99" i="2" s="1"/>
  <c r="D99" i="2"/>
  <c r="C99" i="2"/>
  <c r="B99" i="2"/>
  <c r="I98" i="2"/>
  <c r="J98" i="2" s="1"/>
  <c r="D98" i="2"/>
  <c r="C98" i="2"/>
  <c r="B98" i="2"/>
  <c r="I97" i="2"/>
  <c r="J97" i="2" s="1"/>
  <c r="D97" i="2"/>
  <c r="C97" i="2"/>
  <c r="B97" i="2"/>
  <c r="I96" i="2"/>
  <c r="J96" i="2" s="1"/>
  <c r="D96" i="2"/>
  <c r="C96" i="2"/>
  <c r="B96" i="2"/>
  <c r="I95" i="2"/>
  <c r="J95" i="2" s="1"/>
  <c r="D95" i="2"/>
  <c r="C95" i="2"/>
  <c r="B95" i="2"/>
  <c r="I94" i="2"/>
  <c r="J94" i="2" s="1"/>
  <c r="D94" i="2"/>
  <c r="C94" i="2"/>
  <c r="B94" i="2"/>
  <c r="I93" i="2"/>
  <c r="J93" i="2" s="1"/>
  <c r="D93" i="2"/>
  <c r="C93" i="2"/>
  <c r="B93" i="2"/>
  <c r="I92" i="2"/>
  <c r="J92" i="2" s="1"/>
  <c r="D92" i="2"/>
  <c r="C92" i="2"/>
  <c r="B92" i="2"/>
  <c r="I91" i="2"/>
  <c r="J91" i="2" s="1"/>
  <c r="D91" i="2"/>
  <c r="C91" i="2"/>
  <c r="B91" i="2"/>
  <c r="I90" i="2"/>
  <c r="J90" i="2" s="1"/>
  <c r="D90" i="2"/>
  <c r="C90" i="2"/>
  <c r="B90" i="2"/>
  <c r="I89" i="2"/>
  <c r="J89" i="2" s="1"/>
  <c r="D89" i="2"/>
  <c r="C89" i="2"/>
  <c r="B89" i="2"/>
  <c r="I88" i="2"/>
  <c r="J88" i="2" s="1"/>
  <c r="D88" i="2"/>
  <c r="C88" i="2"/>
  <c r="B88" i="2"/>
  <c r="I87" i="2"/>
  <c r="J87" i="2" s="1"/>
  <c r="D87" i="2"/>
  <c r="C87" i="2"/>
  <c r="B87" i="2"/>
  <c r="I86" i="2"/>
  <c r="J86" i="2" s="1"/>
  <c r="D86" i="2"/>
  <c r="C86" i="2"/>
  <c r="B86" i="2"/>
  <c r="I85" i="2"/>
  <c r="J85" i="2" s="1"/>
  <c r="D85" i="2"/>
  <c r="C85" i="2"/>
  <c r="B85" i="2"/>
  <c r="I84" i="2"/>
  <c r="J84" i="2" s="1"/>
  <c r="D84" i="2"/>
  <c r="C84" i="2"/>
  <c r="B84" i="2"/>
  <c r="I83" i="2"/>
  <c r="J83" i="2" s="1"/>
  <c r="D83" i="2"/>
  <c r="C83" i="2"/>
  <c r="B83" i="2"/>
  <c r="I82" i="2"/>
  <c r="J82" i="2" s="1"/>
  <c r="D82" i="2"/>
  <c r="C82" i="2"/>
  <c r="B82" i="2"/>
  <c r="I81" i="2"/>
  <c r="J81" i="2" s="1"/>
  <c r="D81" i="2"/>
  <c r="C81" i="2"/>
  <c r="B81" i="2"/>
  <c r="I80" i="2"/>
  <c r="J80" i="2" s="1"/>
  <c r="D80" i="2"/>
  <c r="C80" i="2"/>
  <c r="B80" i="2"/>
  <c r="I79" i="2"/>
  <c r="J79" i="2" s="1"/>
  <c r="D79" i="2"/>
  <c r="C79" i="2"/>
  <c r="B79" i="2"/>
  <c r="I78" i="2"/>
  <c r="J78" i="2" s="1"/>
  <c r="D78" i="2"/>
  <c r="C78" i="2"/>
  <c r="B78" i="2"/>
  <c r="I77" i="2"/>
  <c r="J77" i="2" s="1"/>
  <c r="D77" i="2"/>
  <c r="C77" i="2"/>
  <c r="B77" i="2"/>
  <c r="I76" i="2"/>
  <c r="J76" i="2" s="1"/>
  <c r="D76" i="2"/>
  <c r="C76" i="2"/>
  <c r="B76" i="2"/>
  <c r="I75" i="2"/>
  <c r="J75" i="2" s="1"/>
  <c r="D75" i="2"/>
  <c r="C75" i="2"/>
  <c r="B75" i="2"/>
  <c r="I74" i="2"/>
  <c r="J74" i="2" s="1"/>
  <c r="D74" i="2"/>
  <c r="C74" i="2"/>
  <c r="B74" i="2"/>
  <c r="I73" i="2"/>
  <c r="J73" i="2" s="1"/>
  <c r="D73" i="2"/>
  <c r="C73" i="2"/>
  <c r="B73" i="2"/>
  <c r="I72" i="2"/>
  <c r="J72" i="2" s="1"/>
  <c r="D72" i="2"/>
  <c r="C72" i="2"/>
  <c r="B72" i="2"/>
  <c r="I71" i="2"/>
  <c r="J71" i="2" s="1"/>
  <c r="D71" i="2"/>
  <c r="C71" i="2"/>
  <c r="B71" i="2"/>
  <c r="I70" i="2"/>
  <c r="J70" i="2" s="1"/>
  <c r="D70" i="2"/>
  <c r="C70" i="2"/>
  <c r="B70" i="2"/>
  <c r="I69" i="2"/>
  <c r="J69" i="2" s="1"/>
  <c r="D69" i="2"/>
  <c r="C69" i="2"/>
  <c r="B69" i="2"/>
  <c r="I68" i="2"/>
  <c r="J68" i="2" s="1"/>
  <c r="D68" i="2"/>
  <c r="C68" i="2"/>
  <c r="B68" i="2"/>
  <c r="I67" i="2"/>
  <c r="J67" i="2" s="1"/>
  <c r="D67" i="2"/>
  <c r="C67" i="2"/>
  <c r="B67" i="2"/>
  <c r="I66" i="2"/>
  <c r="J66" i="2" s="1"/>
  <c r="D66" i="2"/>
  <c r="C66" i="2"/>
  <c r="B66" i="2"/>
  <c r="I65" i="2"/>
  <c r="J65" i="2" s="1"/>
  <c r="D65" i="2"/>
  <c r="C65" i="2"/>
  <c r="B65" i="2"/>
  <c r="I64" i="2"/>
  <c r="J64" i="2" s="1"/>
  <c r="D64" i="2"/>
  <c r="C64" i="2"/>
  <c r="B64" i="2"/>
  <c r="I63" i="2"/>
  <c r="J63" i="2" s="1"/>
  <c r="D63" i="2"/>
  <c r="C63" i="2"/>
  <c r="B63" i="2"/>
  <c r="I62" i="2"/>
  <c r="J62" i="2" s="1"/>
  <c r="D62" i="2"/>
  <c r="C62" i="2"/>
  <c r="B62" i="2"/>
  <c r="I61" i="2"/>
  <c r="J61" i="2" s="1"/>
  <c r="D61" i="2"/>
  <c r="C61" i="2"/>
  <c r="B61" i="2"/>
  <c r="I60" i="2"/>
  <c r="J60" i="2" s="1"/>
  <c r="D60" i="2"/>
  <c r="C60" i="2"/>
  <c r="B60" i="2"/>
  <c r="I59" i="2"/>
  <c r="J59" i="2" s="1"/>
  <c r="D59" i="2"/>
  <c r="C59" i="2"/>
  <c r="B59" i="2"/>
  <c r="I58" i="2"/>
  <c r="J58" i="2" s="1"/>
  <c r="D58" i="2"/>
  <c r="C58" i="2"/>
  <c r="B58" i="2"/>
  <c r="I57" i="2"/>
  <c r="H56" i="4" s="1"/>
  <c r="D57" i="2"/>
  <c r="C57" i="2"/>
  <c r="B57" i="2"/>
  <c r="I56" i="2"/>
  <c r="J56" i="2" s="1"/>
  <c r="D56" i="2"/>
  <c r="C56" i="2"/>
  <c r="B56" i="2"/>
  <c r="I55" i="2"/>
  <c r="J55" i="2" s="1"/>
  <c r="D55" i="2"/>
  <c r="C55" i="2"/>
  <c r="B55" i="2"/>
  <c r="I54" i="2"/>
  <c r="H53" i="4" s="1"/>
  <c r="D54" i="2"/>
  <c r="C54" i="2"/>
  <c r="B54" i="2"/>
  <c r="I53" i="2"/>
  <c r="J53" i="2" s="1"/>
  <c r="D53" i="2"/>
  <c r="C53" i="2"/>
  <c r="B53" i="2"/>
  <c r="I52" i="2"/>
  <c r="H51" i="4" s="1"/>
  <c r="D52" i="2"/>
  <c r="C52" i="2"/>
  <c r="B52" i="2"/>
  <c r="I51" i="2"/>
  <c r="H50" i="4" s="1"/>
  <c r="D51" i="2"/>
  <c r="C51" i="2"/>
  <c r="B51" i="2"/>
  <c r="I50" i="2"/>
  <c r="H49" i="4" s="1"/>
  <c r="D50" i="2"/>
  <c r="C50" i="2"/>
  <c r="B50" i="2"/>
  <c r="I49" i="2"/>
  <c r="J49" i="2" s="1"/>
  <c r="D49" i="2"/>
  <c r="C49" i="2"/>
  <c r="B49" i="2"/>
  <c r="I48" i="2"/>
  <c r="H47" i="4" s="1"/>
  <c r="D48" i="2"/>
  <c r="C48" i="2"/>
  <c r="B48" i="2"/>
  <c r="I47" i="2"/>
  <c r="H46" i="4" s="1"/>
  <c r="D47" i="2"/>
  <c r="C47" i="2"/>
  <c r="B47" i="2"/>
  <c r="I46" i="2"/>
  <c r="J46" i="2" s="1"/>
  <c r="D46" i="2"/>
  <c r="C46" i="2"/>
  <c r="B46" i="2"/>
  <c r="I45" i="2"/>
  <c r="J45" i="2" s="1"/>
  <c r="D45" i="2"/>
  <c r="C45" i="2"/>
  <c r="B45" i="2"/>
  <c r="I44" i="2"/>
  <c r="J44" i="2" s="1"/>
  <c r="D44" i="2"/>
  <c r="C44" i="2"/>
  <c r="B44" i="2"/>
  <c r="I43" i="2"/>
  <c r="H42" i="4" s="1"/>
  <c r="D43" i="2"/>
  <c r="C43" i="2"/>
  <c r="B43" i="2"/>
  <c r="I42" i="2"/>
  <c r="H41" i="4" s="1"/>
  <c r="D42" i="2"/>
  <c r="C42" i="2"/>
  <c r="B42" i="2"/>
  <c r="I41" i="2"/>
  <c r="H40" i="4" s="1"/>
  <c r="D41" i="2"/>
  <c r="C41" i="2"/>
  <c r="B41" i="2"/>
  <c r="I40" i="2"/>
  <c r="J40" i="2" s="1"/>
  <c r="D40" i="2"/>
  <c r="C40" i="2"/>
  <c r="B40" i="2"/>
  <c r="I39" i="2"/>
  <c r="H38" i="4" s="1"/>
  <c r="D39" i="2"/>
  <c r="C39" i="2"/>
  <c r="B39" i="2"/>
  <c r="I38" i="2"/>
  <c r="J38" i="2" s="1"/>
  <c r="D38" i="2"/>
  <c r="C38" i="2"/>
  <c r="B38" i="2"/>
  <c r="I37" i="2"/>
  <c r="J37" i="2" s="1"/>
  <c r="D37" i="2"/>
  <c r="C37" i="2"/>
  <c r="B37" i="2"/>
  <c r="I36" i="2"/>
  <c r="J36" i="2" s="1"/>
  <c r="D36" i="2"/>
  <c r="C36" i="2"/>
  <c r="B36" i="2"/>
  <c r="I35" i="2"/>
  <c r="J35" i="2" s="1"/>
  <c r="D35" i="2"/>
  <c r="C35" i="2"/>
  <c r="B35" i="2"/>
  <c r="I34" i="2"/>
  <c r="H33" i="4" s="1"/>
  <c r="D34" i="2"/>
  <c r="C34" i="2"/>
  <c r="B34" i="2"/>
  <c r="I33" i="2"/>
  <c r="H32" i="4" s="1"/>
  <c r="D33" i="2"/>
  <c r="C33" i="2"/>
  <c r="B33" i="2"/>
  <c r="I32" i="2"/>
  <c r="J32" i="2" s="1"/>
  <c r="D32" i="2"/>
  <c r="C32" i="2"/>
  <c r="B32" i="2"/>
  <c r="I31" i="2"/>
  <c r="J31" i="2" s="1"/>
  <c r="D31" i="2"/>
  <c r="C31" i="2"/>
  <c r="B31" i="2"/>
  <c r="I30" i="2"/>
  <c r="H29" i="4" s="1"/>
  <c r="D30" i="2"/>
  <c r="C30" i="2"/>
  <c r="B30" i="2"/>
  <c r="I29" i="2"/>
  <c r="J29" i="2" s="1"/>
  <c r="D29" i="2"/>
  <c r="C29" i="2"/>
  <c r="B29" i="2"/>
  <c r="I28" i="2"/>
  <c r="J28" i="2" s="1"/>
  <c r="D28" i="2"/>
  <c r="C28" i="2"/>
  <c r="B28" i="2"/>
  <c r="I27" i="2"/>
  <c r="H26" i="4" s="1"/>
  <c r="D27" i="2"/>
  <c r="C27" i="2"/>
  <c r="B27" i="2"/>
  <c r="I26" i="2"/>
  <c r="H25" i="4" s="1"/>
  <c r="D26" i="2"/>
  <c r="C26" i="2"/>
  <c r="B26" i="2"/>
  <c r="I25" i="2"/>
  <c r="J25" i="2" s="1"/>
  <c r="D25" i="2"/>
  <c r="C25" i="2"/>
  <c r="B25" i="2"/>
  <c r="I24" i="2"/>
  <c r="H23" i="4" s="1"/>
  <c r="D24" i="2"/>
  <c r="C24" i="2"/>
  <c r="B24" i="2"/>
  <c r="I23" i="2"/>
  <c r="J23" i="2" s="1"/>
  <c r="D23" i="2"/>
  <c r="C23" i="2"/>
  <c r="B23" i="2"/>
  <c r="I22" i="2"/>
  <c r="J22" i="2" s="1"/>
  <c r="D22" i="2"/>
  <c r="C22" i="2"/>
  <c r="B22" i="2"/>
  <c r="I21" i="2"/>
  <c r="J21" i="2" s="1"/>
  <c r="D21" i="2"/>
  <c r="C21" i="2"/>
  <c r="B21" i="2"/>
  <c r="I20" i="2"/>
  <c r="J20" i="2" s="1"/>
  <c r="D20" i="2"/>
  <c r="C20" i="2"/>
  <c r="B20" i="2"/>
  <c r="I19" i="2"/>
  <c r="H18" i="4" s="1"/>
  <c r="D19" i="2"/>
  <c r="C19" i="2"/>
  <c r="B19" i="2"/>
  <c r="I18" i="2"/>
  <c r="H17" i="4" s="1"/>
  <c r="D18" i="2"/>
  <c r="C18" i="2"/>
  <c r="B18" i="2"/>
  <c r="I17" i="2"/>
  <c r="H16" i="4" s="1"/>
  <c r="D17" i="2"/>
  <c r="C17" i="2"/>
  <c r="B17" i="2"/>
  <c r="I16" i="2"/>
  <c r="J16" i="2" s="1"/>
  <c r="D16" i="2"/>
  <c r="C16" i="2"/>
  <c r="B16" i="2"/>
  <c r="I15" i="2"/>
  <c r="H14" i="4" s="1"/>
  <c r="D15" i="2"/>
  <c r="C15" i="2"/>
  <c r="B15" i="2"/>
  <c r="I14" i="2"/>
  <c r="J14" i="2" s="1"/>
  <c r="D14" i="2"/>
  <c r="C14" i="2"/>
  <c r="B14" i="2"/>
  <c r="I13" i="2"/>
  <c r="J13" i="2" s="1"/>
  <c r="D13" i="2"/>
  <c r="C13" i="2"/>
  <c r="B13" i="2"/>
  <c r="I12" i="2"/>
  <c r="J12" i="2" s="1"/>
  <c r="D12" i="2"/>
  <c r="C12" i="2"/>
  <c r="B12" i="2"/>
  <c r="I11" i="2"/>
  <c r="H10" i="4" s="1"/>
  <c r="D11" i="2"/>
  <c r="D10" i="4" s="1"/>
  <c r="C11" i="2"/>
  <c r="C65" i="3" s="1"/>
  <c r="B11" i="2"/>
  <c r="C63" i="3" s="1"/>
  <c r="I10" i="2"/>
  <c r="J10" i="2" s="1"/>
  <c r="D10" i="2"/>
  <c r="D9" i="4" s="1"/>
  <c r="C10" i="2"/>
  <c r="C9" i="4" s="1"/>
  <c r="B10" i="2"/>
  <c r="B9" i="4" s="1"/>
  <c r="I9" i="2"/>
  <c r="H8" i="4" s="1"/>
  <c r="D9" i="2"/>
  <c r="D8" i="4" s="1"/>
  <c r="C9" i="2"/>
  <c r="C45" i="3" s="1"/>
  <c r="B9" i="2"/>
  <c r="C43" i="3" s="1"/>
  <c r="I8" i="2"/>
  <c r="J8" i="2" s="1"/>
  <c r="D8" i="2"/>
  <c r="D7" i="4" s="1"/>
  <c r="C8" i="2"/>
  <c r="C35" i="3" s="1"/>
  <c r="B8" i="2"/>
  <c r="C33" i="3" s="1"/>
  <c r="I7" i="2"/>
  <c r="J7" i="2" s="1"/>
  <c r="D7" i="2"/>
  <c r="D6" i="4" s="1"/>
  <c r="C7" i="2"/>
  <c r="C25" i="3" s="1"/>
  <c r="B7" i="2"/>
  <c r="B6" i="4" s="1"/>
  <c r="I6" i="2"/>
  <c r="H5" i="4" s="1"/>
  <c r="D6" i="2"/>
  <c r="D5" i="4" s="1"/>
  <c r="C6" i="2"/>
  <c r="C5" i="4" s="1"/>
  <c r="B6" i="2"/>
  <c r="B5" i="4" s="1"/>
  <c r="I5" i="2"/>
  <c r="J5" i="2" s="1"/>
  <c r="D5" i="2"/>
  <c r="D4" i="4" s="1"/>
  <c r="C5" i="2"/>
  <c r="C4" i="4" s="1"/>
  <c r="B5" i="2"/>
  <c r="B4" i="4" s="1"/>
  <c r="D9" i="5" l="1"/>
  <c r="E9" i="5"/>
  <c r="D6" i="5"/>
  <c r="D5" i="5"/>
  <c r="E5" i="5"/>
  <c r="D4" i="5"/>
  <c r="D13" i="5" s="1"/>
  <c r="E4" i="5"/>
  <c r="E13" i="5" s="1"/>
  <c r="B10" i="4"/>
  <c r="C10" i="4"/>
  <c r="C53" i="3"/>
  <c r="C55" i="3"/>
  <c r="B7" i="4"/>
  <c r="C7" i="4"/>
  <c r="B8" i="4"/>
  <c r="C8" i="4"/>
  <c r="H69" i="4"/>
  <c r="H75" i="4"/>
  <c r="H81" i="4"/>
  <c r="H63" i="4"/>
  <c r="H83" i="4"/>
  <c r="H80" i="4"/>
  <c r="H77" i="4"/>
  <c r="H74" i="4"/>
  <c r="H71" i="4"/>
  <c r="H68" i="4"/>
  <c r="H65" i="4"/>
  <c r="H62" i="4"/>
  <c r="H59" i="4"/>
  <c r="H82" i="4"/>
  <c r="H79" i="4"/>
  <c r="H76" i="4"/>
  <c r="H73" i="4"/>
  <c r="H70" i="4"/>
  <c r="H67" i="4"/>
  <c r="H64" i="4"/>
  <c r="H61" i="4"/>
  <c r="H58" i="4"/>
  <c r="H84" i="4"/>
  <c r="H78" i="4"/>
  <c r="H72" i="4"/>
  <c r="H66" i="4"/>
  <c r="H60" i="4"/>
  <c r="H57" i="4"/>
  <c r="C6" i="4"/>
  <c r="C23" i="3"/>
  <c r="H19" i="4"/>
  <c r="J11" i="2"/>
  <c r="H52" i="4"/>
  <c r="C5" i="3"/>
  <c r="J50" i="2"/>
  <c r="J26" i="2"/>
  <c r="J43" i="2"/>
  <c r="J17" i="2"/>
  <c r="J19" i="2"/>
  <c r="J47" i="2"/>
  <c r="H34" i="4"/>
  <c r="J27" i="2"/>
  <c r="H31" i="4"/>
  <c r="C13" i="3"/>
  <c r="C15" i="3"/>
  <c r="H28" i="4"/>
  <c r="H22" i="4"/>
  <c r="H55" i="4"/>
  <c r="J51" i="2"/>
  <c r="J18" i="2"/>
  <c r="J41" i="2"/>
  <c r="J42" i="2"/>
  <c r="H43" i="4"/>
  <c r="C13" i="5"/>
  <c r="H7" i="4"/>
  <c r="H37" i="4"/>
  <c r="J34" i="2"/>
  <c r="J52" i="2"/>
  <c r="H4" i="4"/>
  <c r="H13" i="4"/>
  <c r="H6" i="4"/>
  <c r="H9" i="4"/>
  <c r="H12" i="4"/>
  <c r="H15" i="4"/>
  <c r="H21" i="4"/>
  <c r="H24" i="4"/>
  <c r="H27" i="4"/>
  <c r="H30" i="4"/>
  <c r="H36" i="4"/>
  <c r="H39" i="4"/>
  <c r="H45" i="4"/>
  <c r="H48" i="4"/>
  <c r="H54" i="4"/>
  <c r="C3" i="3"/>
  <c r="J48" i="2"/>
  <c r="J33" i="2"/>
  <c r="J57" i="2"/>
  <c r="J39" i="2"/>
  <c r="J9" i="2"/>
  <c r="J15" i="2"/>
  <c r="J6" i="2"/>
  <c r="J30" i="2"/>
  <c r="J54" i="2"/>
  <c r="J24" i="2"/>
  <c r="H11" i="4"/>
  <c r="H20" i="4"/>
  <c r="H35" i="4"/>
  <c r="H44" i="4"/>
</calcChain>
</file>

<file path=xl/sharedStrings.xml><?xml version="1.0" encoding="utf-8"?>
<sst xmlns="http://schemas.openxmlformats.org/spreadsheetml/2006/main" count="940" uniqueCount="100">
  <si>
    <t>防火ポスター応募者入力シート</t>
  </si>
  <si>
    <t>No</t>
  </si>
  <si>
    <t>市町村名</t>
  </si>
  <si>
    <t>学校名</t>
  </si>
  <si>
    <t>学校種別</t>
  </si>
  <si>
    <t>学年</t>
  </si>
  <si>
    <t>氏名</t>
  </si>
  <si>
    <t>ふりがな</t>
  </si>
  <si>
    <t>備考</t>
  </si>
  <si>
    <t>確認</t>
  </si>
  <si>
    <t>名札表示</t>
  </si>
  <si>
    <t>大垣　太郎</t>
  </si>
  <si>
    <t>おおがき　たろう</t>
  </si>
  <si>
    <t>大垣　花子</t>
  </si>
  <si>
    <t>おおがき　はなこ</t>
  </si>
  <si>
    <t>令和8年度 防火ポスター応募者入力・名札作成テンプレート</t>
  </si>
  <si>
    <t>使い方</t>
  </si>
  <si>
    <t>1</t>
  </si>
  <si>
    <t>「設定」シートで学校名・市町村名・学校種別を確認してください。</t>
  </si>
  <si>
    <t>2</t>
  </si>
  <si>
    <t>「応募者入力」シートに、学年・氏名・ふりがなを入力してください。</t>
  </si>
  <si>
    <t>3</t>
  </si>
  <si>
    <t>ふりがなはカタカナで入力してください。未入力や重複は「確認」欄で表示されます。</t>
  </si>
  <si>
    <t>4</t>
  </si>
  <si>
    <t>名札を印刷する場合は「名札印刷」シートの開始Noを変更してください。1ページに2名分表示されます。</t>
  </si>
  <si>
    <t>5</t>
  </si>
  <si>
    <t>事務局提出時は、このExcelファイルをそのままメール添付してください。</t>
  </si>
  <si>
    <t>注意事項</t>
  </si>
  <si>
    <t>・入力欄以外は編集しないでください。様式が崩れると名札・名簿が正しく作成されない場合があります。</t>
  </si>
  <si>
    <t>・氏名は賞状等に使用しますので、漢字・ふりがなを必ず確認してください。</t>
  </si>
  <si>
    <t>・作品提出時は、名札を作品下段中央に貼付してください。</t>
  </si>
  <si>
    <t>のりしろ</t>
  </si>
  <si>
    <t>（消防本部名）</t>
  </si>
  <si>
    <t>(少年消防クラブ名)</t>
  </si>
  <si>
    <t>（ふりがな）</t>
  </si>
  <si>
    <t>応募者名簿（事務局確認用）</t>
  </si>
  <si>
    <t>応募状況集計</t>
  </si>
  <si>
    <t>区分</t>
  </si>
  <si>
    <t>応募点数</t>
  </si>
  <si>
    <t>未入力確認</t>
  </si>
  <si>
    <t>重複確認</t>
  </si>
  <si>
    <t>小学校</t>
  </si>
  <si>
    <t>小1</t>
  </si>
  <si>
    <t>小2</t>
  </si>
  <si>
    <t>小3</t>
  </si>
  <si>
    <t>小4</t>
  </si>
  <si>
    <t>小5</t>
  </si>
  <si>
    <t>小6</t>
  </si>
  <si>
    <t>中学校</t>
  </si>
  <si>
    <t>中1</t>
  </si>
  <si>
    <t>中2</t>
  </si>
  <si>
    <t>中3</t>
  </si>
  <si>
    <t>計</t>
  </si>
  <si>
    <t>提出前チェック：D列・E列が0になっていることを確認してください。</t>
  </si>
  <si>
    <t>設定</t>
  </si>
  <si>
    <t>項目</t>
  </si>
  <si>
    <t>入力値</t>
  </si>
  <si>
    <t>説明</t>
  </si>
  <si>
    <t>学年候補</t>
  </si>
  <si>
    <t>年度</t>
  </si>
  <si>
    <t>令和8年度</t>
  </si>
  <si>
    <t>募集年度</t>
  </si>
  <si>
    <t>大垣市</t>
  </si>
  <si>
    <t>例：大垣市、神戸町、輪之内町、安八町、池田町</t>
  </si>
  <si>
    <t>名札に反映</t>
  </si>
  <si>
    <t>例：○○小学校、○○中学校</t>
  </si>
  <si>
    <t>名札・名簿に反映</t>
  </si>
  <si>
    <t>小学校または中学校を選択</t>
  </si>
  <si>
    <t>学年選択に使用</t>
  </si>
  <si>
    <t>提出期限</t>
  </si>
  <si>
    <t>令和8年8月末予定</t>
  </si>
  <si>
    <t>必要に応じて変更</t>
  </si>
  <si>
    <t>担当課</t>
  </si>
  <si>
    <t>大垣消防組合消防本部 予防課</t>
  </si>
  <si>
    <t>防火ポスター応募・名札印刷ファイルの使い方</t>
  </si>
  <si>
    <t>「応募者入力」シートに、応募した児童生徒の市町村名、学校名、学校種別、学年、氏名、ふりがなを入力します。</t>
  </si>
  <si>
    <t>「名札印刷」シートを開き、必要なページ数を印刷します。1ページにつき1名分の名札が印刷されます。</t>
  </si>
  <si>
    <t>印刷した名札を切り取り、作品下段中央に貼付してください。</t>
  </si>
  <si>
    <t>田中　恵子</t>
    <rPh sb="0" eb="2">
      <t>タナカ</t>
    </rPh>
    <rPh sb="3" eb="5">
      <t>ケイコ</t>
    </rPh>
    <phoneticPr fontId="13"/>
  </si>
  <si>
    <t>たなか　けいこ</t>
    <phoneticPr fontId="13"/>
  </si>
  <si>
    <t>祈祷　なにがし</t>
    <rPh sb="0" eb="2">
      <t>キトウ</t>
    </rPh>
    <phoneticPr fontId="13"/>
  </si>
  <si>
    <t>きとう　なにがし</t>
    <phoneticPr fontId="13"/>
  </si>
  <si>
    <t>大垣市立静里小学校</t>
    <rPh sb="0" eb="4">
      <t>オオガキシリツ</t>
    </rPh>
    <rPh sb="4" eb="6">
      <t>シズサト</t>
    </rPh>
    <phoneticPr fontId="13"/>
  </si>
  <si>
    <t>宮川　つよし</t>
    <rPh sb="0" eb="2">
      <t>ミヤガワ</t>
    </rPh>
    <phoneticPr fontId="13"/>
  </si>
  <si>
    <t>みやがわ　つよし</t>
    <phoneticPr fontId="13"/>
  </si>
  <si>
    <r>
      <rPr>
        <sz val="11"/>
        <rFont val="ＭＳ ゴシック"/>
        <family val="3"/>
        <charset val="128"/>
      </rPr>
      <t>応募者が</t>
    </r>
    <r>
      <rPr>
        <sz val="11"/>
        <rFont val="Arial"/>
        <family val="2"/>
      </rPr>
      <t>100</t>
    </r>
    <r>
      <rPr>
        <sz val="11"/>
        <rFont val="ＭＳ ゴシック"/>
        <family val="3"/>
        <charset val="128"/>
      </rPr>
      <t>人未満の場合、空欄ページは印刷不要です。印刷時に必要なページまでを指定してください。</t>
    </r>
    <phoneticPr fontId="13"/>
  </si>
  <si>
    <t>※学校側で入力する主な欄は「学年」「氏名」「ふりがな」です。</t>
    <phoneticPr fontId="13"/>
  </si>
  <si>
    <t>テスト　太郎</t>
    <rPh sb="4" eb="6">
      <t>タロウ</t>
    </rPh>
    <phoneticPr fontId="13"/>
  </si>
  <si>
    <t>てすと　たろう</t>
    <phoneticPr fontId="13"/>
  </si>
  <si>
    <t>大島もとこ</t>
    <rPh sb="0" eb="2">
      <t>オオシマ</t>
    </rPh>
    <phoneticPr fontId="13"/>
  </si>
  <si>
    <t>おおしま　もとこ</t>
    <phoneticPr fontId="13"/>
  </si>
  <si>
    <t>小1</t>
    <phoneticPr fontId="13"/>
  </si>
  <si>
    <t>小2</t>
    <phoneticPr fontId="13"/>
  </si>
  <si>
    <t>小3</t>
    <phoneticPr fontId="13"/>
  </si>
  <si>
    <t>小4</t>
    <phoneticPr fontId="13"/>
  </si>
  <si>
    <t>小5</t>
    <phoneticPr fontId="13"/>
  </si>
  <si>
    <t>小6</t>
    <phoneticPr fontId="13"/>
  </si>
  <si>
    <t>中1</t>
    <phoneticPr fontId="13"/>
  </si>
  <si>
    <t>中2</t>
    <phoneticPr fontId="13"/>
  </si>
  <si>
    <t>中4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</si>
</sst>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b/>
      <sz val="11"/>
      <color rgb="FF1E3A8A"/>
      <name val="Yu Gothic"/>
      <family val="3"/>
      <charset val="128"/>
    </font>
    <font>
      <sz val="11"/>
      <name val="Yu Gothic"/>
      <family val="3"/>
      <charset val="128"/>
    </font>
    <font>
      <b/>
      <sz val="11"/>
      <name val="Yu Gothic"/>
      <family val="3"/>
      <charset val="128"/>
    </font>
    <font>
      <b/>
      <sz val="11"/>
      <color rgb="FF92400E"/>
      <name val="Yu Gothic"/>
      <family val="3"/>
      <charset val="128"/>
    </font>
    <font>
      <b/>
      <sz val="16"/>
      <color rgb="FF1F2937"/>
      <name val="Yu Gothic"/>
      <family val="3"/>
      <charset val="128"/>
    </font>
    <font>
      <b/>
      <sz val="11"/>
      <color rgb="FF374151"/>
      <name val="Yu Gothic"/>
      <family val="3"/>
      <charset val="128"/>
    </font>
    <font>
      <sz val="10"/>
      <name val="Yu Gothic"/>
      <family val="3"/>
      <charset val="128"/>
    </font>
    <font>
      <b/>
      <sz val="10"/>
      <name val="Yu Gothic"/>
      <family val="3"/>
      <charset val="128"/>
    </font>
    <font>
      <b/>
      <sz val="10"/>
      <color rgb="FF1E3A8A"/>
      <name val="Yu Gothic"/>
      <family val="3"/>
      <charset val="128"/>
    </font>
    <font>
      <b/>
      <sz val="14"/>
      <color rgb="FF1E3A8A"/>
      <name val="Yu Gothic"/>
      <family val="3"/>
      <charset val="128"/>
    </font>
    <font>
      <b/>
      <sz val="16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6"/>
      <name val="Yu Gothic"/>
      <family val="3"/>
      <charset val="128"/>
    </font>
    <font>
      <b/>
      <sz val="16"/>
      <color rgb="FF111111"/>
      <name val="Yu Gothic"/>
      <family val="3"/>
      <charset val="128"/>
    </font>
    <font>
      <b/>
      <sz val="20"/>
      <color rgb="FF111111"/>
      <name val="Yu Gothic"/>
      <family val="3"/>
      <charset val="128"/>
    </font>
    <font>
      <sz val="20"/>
      <color rgb="FF111111"/>
      <name val="Yu Gothic"/>
      <family val="3"/>
      <charset val="128"/>
    </font>
    <font>
      <b/>
      <sz val="26"/>
      <color rgb="FF111111"/>
      <name val="Yu Gothic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E5E7EB"/>
      </patternFill>
    </fill>
    <fill>
      <patternFill patternType="solid">
        <fgColor rgb="FFF3F4F6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E5E7EB"/>
      </patternFill>
    </fill>
    <fill>
      <patternFill patternType="solid">
        <fgColor rgb="FFFFFF66"/>
        <bgColor indexed="64"/>
      </patternFill>
    </fill>
  </fills>
  <borders count="1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808080"/>
      </bottom>
      <diagonal/>
    </border>
    <border>
      <left/>
      <right style="medium">
        <color indexed="64"/>
      </right>
      <top style="thin">
        <color rgb="FF80808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808080"/>
      </bottom>
      <diagonal/>
    </border>
    <border>
      <left style="medium">
        <color indexed="64"/>
      </left>
      <right style="medium">
        <color indexed="64"/>
      </right>
      <top style="thin">
        <color rgb="FF80808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808080"/>
      </top>
      <bottom style="thin">
        <color rgb="FF808080"/>
      </bottom>
      <diagonal/>
    </border>
    <border>
      <left style="dashed">
        <color indexed="64"/>
      </left>
      <right/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54">
    <xf numFmtId="0" fontId="0" fillId="0" borderId="0" xfId="0"/>
    <xf numFmtId="0" fontId="2" fillId="0" borderId="0" xfId="1" applyFont="1"/>
    <xf numFmtId="0" fontId="3" fillId="5" borderId="0" xfId="1" applyFont="1" applyFill="1"/>
    <xf numFmtId="0" fontId="2" fillId="6" borderId="0" xfId="1" applyFont="1" applyFill="1"/>
    <xf numFmtId="0" fontId="7" fillId="0" borderId="0" xfId="1" applyFont="1"/>
    <xf numFmtId="0" fontId="7" fillId="0" borderId="0" xfId="1" applyFont="1" applyAlignment="1">
      <alignment wrapText="1"/>
    </xf>
    <xf numFmtId="0" fontId="11" fillId="12" borderId="0" xfId="1" applyFont="1" applyFill="1"/>
    <xf numFmtId="0" fontId="0" fillId="0" borderId="1" xfId="1" applyFont="1" applyBorder="1" applyAlignment="1">
      <alignment vertical="top" wrapText="1"/>
    </xf>
    <xf numFmtId="0" fontId="0" fillId="10" borderId="1" xfId="1" applyFont="1" applyFill="1" applyBorder="1" applyAlignment="1">
      <alignment horizontal="center" vertical="top" wrapText="1"/>
    </xf>
    <xf numFmtId="0" fontId="9" fillId="0" borderId="0" xfId="1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5" borderId="0" xfId="1" applyFont="1" applyFill="1" applyProtection="1">
      <protection locked="0"/>
    </xf>
    <xf numFmtId="0" fontId="2" fillId="0" borderId="0" xfId="1" applyFont="1" applyProtection="1">
      <protection locked="0"/>
    </xf>
    <xf numFmtId="0" fontId="3" fillId="7" borderId="0" xfId="1" applyFont="1" applyFill="1" applyProtection="1">
      <protection locked="0"/>
    </xf>
    <xf numFmtId="0" fontId="14" fillId="0" borderId="11" xfId="0" applyFont="1" applyBorder="1" applyAlignment="1">
      <alignment horizontal="centerContinuous" vertical="center" wrapText="1"/>
    </xf>
    <xf numFmtId="0" fontId="14" fillId="0" borderId="13" xfId="0" applyFont="1" applyBorder="1" applyAlignment="1">
      <alignment horizontal="centerContinuous" vertical="center" wrapText="1"/>
    </xf>
    <xf numFmtId="0" fontId="3" fillId="11" borderId="2" xfId="1" applyFont="1" applyFill="1" applyBorder="1" applyAlignment="1">
      <alignment horizontal="center" vertical="center"/>
    </xf>
    <xf numFmtId="0" fontId="3" fillId="9" borderId="1" xfId="1" applyFont="1" applyFill="1" applyBorder="1"/>
    <xf numFmtId="0" fontId="7" fillId="14" borderId="1" xfId="1" applyFont="1" applyFill="1" applyBorder="1" applyAlignment="1">
      <alignment horizontal="center"/>
    </xf>
    <xf numFmtId="0" fontId="7" fillId="14" borderId="1" xfId="1" applyFont="1" applyFill="1" applyBorder="1"/>
    <xf numFmtId="0" fontId="7" fillId="13" borderId="1" xfId="1" applyFont="1" applyFill="1" applyBorder="1" applyProtection="1">
      <protection locked="0"/>
    </xf>
    <xf numFmtId="0" fontId="15" fillId="10" borderId="7" xfId="0" applyFont="1" applyFill="1" applyBorder="1" applyAlignment="1">
      <alignment horizontal="center" wrapText="1"/>
    </xf>
    <xf numFmtId="0" fontId="16" fillId="14" borderId="3" xfId="0" applyFont="1" applyFill="1" applyBorder="1" applyAlignment="1">
      <alignment horizontal="center" wrapText="1"/>
    </xf>
    <xf numFmtId="0" fontId="15" fillId="10" borderId="8" xfId="0" applyFont="1" applyFill="1" applyBorder="1" applyAlignment="1">
      <alignment horizontal="center" vertical="top" wrapText="1"/>
    </xf>
    <xf numFmtId="0" fontId="16" fillId="14" borderId="4" xfId="0" applyFont="1" applyFill="1" applyBorder="1" applyAlignment="1">
      <alignment horizontal="center" vertical="top" wrapText="1"/>
    </xf>
    <xf numFmtId="0" fontId="15" fillId="10" borderId="9" xfId="0" applyFont="1" applyFill="1" applyBorder="1" applyAlignment="1">
      <alignment horizontal="center" wrapText="1"/>
    </xf>
    <xf numFmtId="0" fontId="15" fillId="10" borderId="9" xfId="0" applyFont="1" applyFill="1" applyBorder="1" applyAlignment="1">
      <alignment horizontal="center" vertical="center" wrapText="1"/>
    </xf>
    <xf numFmtId="0" fontId="16" fillId="14" borderId="5" xfId="0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center" wrapText="1"/>
    </xf>
    <xf numFmtId="0" fontId="15" fillId="10" borderId="10" xfId="0" applyFont="1" applyFill="1" applyBorder="1" applyAlignment="1">
      <alignment horizontal="center" vertical="top" wrapText="1"/>
    </xf>
    <xf numFmtId="0" fontId="18" fillId="14" borderId="6" xfId="0" applyFont="1" applyFill="1" applyBorder="1" applyAlignment="1">
      <alignment horizontal="center" vertical="top" wrapText="1"/>
    </xf>
    <xf numFmtId="0" fontId="2" fillId="14" borderId="0" xfId="1" applyFont="1" applyFill="1"/>
    <xf numFmtId="0" fontId="3" fillId="14" borderId="0" xfId="1" applyFont="1" applyFill="1"/>
    <xf numFmtId="0" fontId="14" fillId="0" borderId="16" xfId="0" applyFont="1" applyBorder="1" applyAlignment="1">
      <alignment horizontal="centerContinuous" vertical="center" wrapText="1"/>
    </xf>
    <xf numFmtId="0" fontId="2" fillId="15" borderId="0" xfId="1" applyFont="1" applyFill="1"/>
    <xf numFmtId="0" fontId="21" fillId="0" borderId="1" xfId="1" applyFont="1" applyBorder="1" applyAlignment="1">
      <alignment vertical="top" wrapText="1"/>
    </xf>
    <xf numFmtId="0" fontId="16" fillId="14" borderId="15" xfId="0" applyFont="1" applyFill="1" applyBorder="1" applyAlignment="1">
      <alignment horizontal="center" vertical="center" wrapText="1"/>
    </xf>
    <xf numFmtId="0" fontId="0" fillId="0" borderId="8" xfId="0" applyBorder="1"/>
    <xf numFmtId="0" fontId="14" fillId="0" borderId="0" xfId="0" applyFont="1" applyAlignment="1">
      <alignment vertical="center" wrapText="1"/>
    </xf>
    <xf numFmtId="0" fontId="0" fillId="0" borderId="12" xfId="0" applyBorder="1"/>
    <xf numFmtId="0" fontId="14" fillId="0" borderId="12" xfId="0" applyFont="1" applyBorder="1" applyAlignment="1">
      <alignment vertical="center" wrapText="1"/>
    </xf>
    <xf numFmtId="0" fontId="0" fillId="0" borderId="0" xfId="0"/>
    <xf numFmtId="0" fontId="8" fillId="3" borderId="0" xfId="1" applyFont="1" applyFill="1"/>
    <xf numFmtId="0" fontId="7" fillId="0" borderId="0" xfId="1" applyFont="1" applyAlignment="1">
      <alignment horizontal="left" vertical="top" wrapText="1"/>
    </xf>
    <xf numFmtId="0" fontId="8" fillId="4" borderId="0" xfId="1" applyFont="1" applyFill="1"/>
    <xf numFmtId="0" fontId="10" fillId="2" borderId="0" xfId="1" applyFont="1" applyFill="1"/>
    <xf numFmtId="0" fontId="5" fillId="8" borderId="0" xfId="1" applyFont="1" applyFill="1"/>
    <xf numFmtId="0" fontId="6" fillId="8" borderId="0" xfId="1" applyFont="1" applyFill="1"/>
    <xf numFmtId="0" fontId="1" fillId="2" borderId="0" xfId="1" applyFont="1" applyFill="1"/>
    <xf numFmtId="0" fontId="4" fillId="4" borderId="0" xfId="1" applyFont="1" applyFill="1"/>
    <xf numFmtId="0" fontId="19" fillId="0" borderId="0" xfId="0" applyFont="1"/>
  </cellXfs>
  <cellStyles count="2">
    <cellStyle name="Normal" xfId="1" xr:uid="{00000000-0005-0000-0000-000001000000}"/>
    <cellStyle name="標準" xfId="0" builtinId="0"/>
  </cellStyles>
  <dxfs count="2"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CACA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PosterEntry">
  <a:themeElements>
    <a:clrScheme name="PosterEntry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2563EB"/>
      </a:accent1>
      <a:accent2>
        <a:srgbClr val="F59E0B"/>
      </a:accent2>
      <a:accent3>
        <a:srgbClr val="10B981"/>
      </a:accent3>
      <a:accent4>
        <a:srgbClr val="EF4444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osterEntry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20"/>
  <sheetViews>
    <sheetView workbookViewId="0">
      <selection activeCell="B22" sqref="B22"/>
    </sheetView>
  </sheetViews>
  <sheetFormatPr defaultRowHeight="14.25"/>
  <cols>
    <col min="1" max="1" width="6" customWidth="1"/>
    <col min="2" max="2" width="80" customWidth="1"/>
  </cols>
  <sheetData>
    <row r="1" spans="1:26" ht="24" customHeight="1">
      <c r="A1" s="48" t="s">
        <v>15</v>
      </c>
      <c r="B1" s="44"/>
      <c r="C1" s="44"/>
      <c r="D1" s="44"/>
      <c r="E1" s="44"/>
      <c r="F1" s="44"/>
      <c r="G1" s="44"/>
      <c r="H1" s="4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4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45" t="s">
        <v>16</v>
      </c>
      <c r="B3" s="44"/>
      <c r="C3" s="44"/>
      <c r="D3" s="44"/>
      <c r="E3" s="44"/>
      <c r="F3" s="44"/>
      <c r="G3" s="44"/>
      <c r="H3" s="4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4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9" t="s">
        <v>17</v>
      </c>
      <c r="B5" s="5" t="s">
        <v>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9" t="s">
        <v>19</v>
      </c>
      <c r="B6" s="5" t="s">
        <v>20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9" t="s">
        <v>21</v>
      </c>
      <c r="B7" s="5" t="s">
        <v>22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9" t="s">
        <v>23</v>
      </c>
      <c r="B8" s="5" t="s">
        <v>24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9" t="s">
        <v>25</v>
      </c>
      <c r="B9" s="5" t="s">
        <v>26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4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47" t="s">
        <v>27</v>
      </c>
      <c r="B11" s="44"/>
      <c r="C11" s="44"/>
      <c r="D11" s="44"/>
      <c r="E11" s="44"/>
      <c r="F11" s="44"/>
      <c r="G11" s="44"/>
      <c r="H11" s="4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>
      <c r="A12" s="46" t="s">
        <v>28</v>
      </c>
      <c r="B12" s="4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>
      <c r="A13" s="46" t="s">
        <v>29</v>
      </c>
      <c r="B13" s="4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>
      <c r="A14" s="46" t="s">
        <v>30</v>
      </c>
      <c r="B14" s="4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4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</sheetData>
  <mergeCells count="6">
    <mergeCell ref="A3:H3"/>
    <mergeCell ref="A13:B13"/>
    <mergeCell ref="A14:B14"/>
    <mergeCell ref="A11:H11"/>
    <mergeCell ref="A1:H1"/>
    <mergeCell ref="A12:B12"/>
  </mergeCells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104"/>
  <sheetViews>
    <sheetView showGridLines="0" tabSelected="1" workbookViewId="0">
      <pane ySplit="4" topLeftCell="A5" activePane="bottomLeft" state="frozen"/>
      <selection activeCell="A4" sqref="A4:H53"/>
      <selection pane="bottomLeft" activeCell="F14" sqref="F14"/>
    </sheetView>
  </sheetViews>
  <sheetFormatPr defaultRowHeight="14.25"/>
  <cols>
    <col min="1" max="1" width="6" customWidth="1"/>
    <col min="2" max="2" width="14" customWidth="1"/>
    <col min="3" max="3" width="22" customWidth="1"/>
    <col min="4" max="4" width="12" customWidth="1"/>
    <col min="5" max="5" width="10" customWidth="1"/>
    <col min="6" max="6" width="18" customWidth="1"/>
    <col min="7" max="7" width="20" customWidth="1"/>
    <col min="8" max="8" width="18" customWidth="1"/>
    <col min="9" max="9" width="10" customWidth="1"/>
    <col min="10" max="10" width="28" customWidth="1"/>
    <col min="27" max="27" width="13.125" hidden="1" customWidth="1"/>
    <col min="28" max="28" width="25" hidden="1" customWidth="1"/>
  </cols>
  <sheetData>
    <row r="1" spans="1:28" ht="25.5" customHeight="1">
      <c r="A1" s="49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53" t="s">
        <v>91</v>
      </c>
      <c r="AB1" s="53" t="s">
        <v>97</v>
      </c>
    </row>
    <row r="2" spans="1:28" ht="18.75" customHeight="1">
      <c r="A2" s="50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53" t="s">
        <v>92</v>
      </c>
      <c r="AB2" s="53" t="s">
        <v>98</v>
      </c>
    </row>
    <row r="3" spans="1:28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53" t="s">
        <v>93</v>
      </c>
      <c r="AB3" s="53" t="s">
        <v>99</v>
      </c>
    </row>
    <row r="4" spans="1:28" ht="20.100000000000001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20" t="s">
        <v>9</v>
      </c>
      <c r="J4" s="20" t="s">
        <v>10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53" t="s">
        <v>94</v>
      </c>
    </row>
    <row r="5" spans="1:28" ht="20.100000000000001" customHeight="1">
      <c r="A5" s="21">
        <v>1</v>
      </c>
      <c r="B5" s="22" t="str">
        <f>設定!$B$5</f>
        <v>大垣市</v>
      </c>
      <c r="C5" s="22" t="str">
        <f>設定!$B$6</f>
        <v>大垣市立静里小学校</v>
      </c>
      <c r="D5" s="22" t="str">
        <f>設定!$B$7</f>
        <v>小学校</v>
      </c>
      <c r="E5" s="23" t="s">
        <v>43</v>
      </c>
      <c r="F5" s="23" t="s">
        <v>11</v>
      </c>
      <c r="G5" s="23" t="s">
        <v>12</v>
      </c>
      <c r="H5" s="23"/>
      <c r="I5" s="22" t="str">
        <f t="shared" ref="I5:I36" si="0">IF(OR(F5="",G5=""),"未入力","OK")</f>
        <v>OK</v>
      </c>
      <c r="J5" s="22" t="str">
        <f t="shared" ref="J5:J36" si="1">IF(I5="OK",F5&amp;"（"&amp;G5&amp;"）","")</f>
        <v>大垣　太郎（おおがき　たろう）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53" t="s">
        <v>95</v>
      </c>
    </row>
    <row r="6" spans="1:28" ht="20.100000000000001" customHeight="1">
      <c r="A6" s="21">
        <v>2</v>
      </c>
      <c r="B6" s="22" t="str">
        <f>設定!$B$5</f>
        <v>大垣市</v>
      </c>
      <c r="C6" s="22" t="str">
        <f>設定!$B$6</f>
        <v>大垣市立静里小学校</v>
      </c>
      <c r="D6" s="22" t="str">
        <f>設定!$B$7</f>
        <v>小学校</v>
      </c>
      <c r="E6" s="23" t="s">
        <v>43</v>
      </c>
      <c r="F6" s="23" t="s">
        <v>13</v>
      </c>
      <c r="G6" s="23" t="s">
        <v>14</v>
      </c>
      <c r="H6" s="23"/>
      <c r="I6" s="22" t="str">
        <f t="shared" si="0"/>
        <v>OK</v>
      </c>
      <c r="J6" s="22" t="str">
        <f t="shared" si="1"/>
        <v>大垣　花子（おおがき　はなこ）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53" t="s">
        <v>96</v>
      </c>
    </row>
    <row r="7" spans="1:28" ht="20.100000000000001" customHeight="1">
      <c r="A7" s="21">
        <v>3</v>
      </c>
      <c r="B7" s="22" t="str">
        <f>設定!$B$5</f>
        <v>大垣市</v>
      </c>
      <c r="C7" s="22" t="str">
        <f>設定!$B$6</f>
        <v>大垣市立静里小学校</v>
      </c>
      <c r="D7" s="22" t="str">
        <f>設定!$B$7</f>
        <v>小学校</v>
      </c>
      <c r="E7" s="23" t="s">
        <v>44</v>
      </c>
      <c r="F7" s="23" t="s">
        <v>78</v>
      </c>
      <c r="G7" s="23" t="s">
        <v>79</v>
      </c>
      <c r="H7" s="23"/>
      <c r="I7" s="22" t="str">
        <f t="shared" si="0"/>
        <v>OK</v>
      </c>
      <c r="J7" s="22" t="str">
        <f t="shared" si="1"/>
        <v>田中　恵子（たなか　けいこ）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8" ht="20.100000000000001" customHeight="1">
      <c r="A8" s="21">
        <v>4</v>
      </c>
      <c r="B8" s="22" t="str">
        <f>設定!$B$5</f>
        <v>大垣市</v>
      </c>
      <c r="C8" s="22" t="str">
        <f>設定!$B$6</f>
        <v>大垣市立静里小学校</v>
      </c>
      <c r="D8" s="22" t="str">
        <f>設定!$B$7</f>
        <v>小学校</v>
      </c>
      <c r="E8" s="23" t="s">
        <v>46</v>
      </c>
      <c r="F8" s="23" t="s">
        <v>80</v>
      </c>
      <c r="G8" s="23" t="s">
        <v>81</v>
      </c>
      <c r="H8" s="23"/>
      <c r="I8" s="22" t="str">
        <f t="shared" si="0"/>
        <v>OK</v>
      </c>
      <c r="J8" s="22" t="str">
        <f t="shared" si="1"/>
        <v>祈祷　なにがし（きとう　なにがし）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8" ht="20.100000000000001" customHeight="1">
      <c r="A9" s="21">
        <v>5</v>
      </c>
      <c r="B9" s="22" t="str">
        <f>設定!$B$5</f>
        <v>大垣市</v>
      </c>
      <c r="C9" s="22" t="str">
        <f>設定!$B$6</f>
        <v>大垣市立静里小学校</v>
      </c>
      <c r="D9" s="22" t="str">
        <f>設定!$B$7</f>
        <v>小学校</v>
      </c>
      <c r="E9" s="23" t="s">
        <v>47</v>
      </c>
      <c r="F9" s="23" t="s">
        <v>83</v>
      </c>
      <c r="G9" s="23" t="s">
        <v>84</v>
      </c>
      <c r="H9" s="23"/>
      <c r="I9" s="22" t="str">
        <f t="shared" si="0"/>
        <v>OK</v>
      </c>
      <c r="J9" s="22" t="str">
        <f t="shared" si="1"/>
        <v>宮川　つよし（みやがわ　つよし）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8" ht="20.100000000000001" customHeight="1">
      <c r="A10" s="21">
        <v>6</v>
      </c>
      <c r="B10" s="22" t="str">
        <f>設定!$B$5</f>
        <v>大垣市</v>
      </c>
      <c r="C10" s="22" t="str">
        <f>設定!$B$6</f>
        <v>大垣市立静里小学校</v>
      </c>
      <c r="D10" s="22" t="str">
        <f>設定!$B$7</f>
        <v>小学校</v>
      </c>
      <c r="E10" s="23" t="s">
        <v>47</v>
      </c>
      <c r="F10" s="23" t="s">
        <v>87</v>
      </c>
      <c r="G10" s="23" t="s">
        <v>88</v>
      </c>
      <c r="H10" s="23"/>
      <c r="I10" s="22" t="str">
        <f t="shared" si="0"/>
        <v>OK</v>
      </c>
      <c r="J10" s="22" t="str">
        <f t="shared" si="1"/>
        <v>テスト　太郎（てすと　たろう）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8" ht="20.100000000000001" customHeight="1">
      <c r="A11" s="21">
        <v>7</v>
      </c>
      <c r="B11" s="22" t="str">
        <f>設定!$B$5</f>
        <v>大垣市</v>
      </c>
      <c r="C11" s="22" t="str">
        <f>設定!$B$6</f>
        <v>大垣市立静里小学校</v>
      </c>
      <c r="D11" s="22" t="str">
        <f>設定!$B$7</f>
        <v>小学校</v>
      </c>
      <c r="E11" s="23" t="s">
        <v>42</v>
      </c>
      <c r="F11" s="23" t="s">
        <v>89</v>
      </c>
      <c r="G11" s="23" t="s">
        <v>90</v>
      </c>
      <c r="H11" s="23"/>
      <c r="I11" s="22" t="str">
        <f t="shared" si="0"/>
        <v>OK</v>
      </c>
      <c r="J11" s="22" t="str">
        <f t="shared" si="1"/>
        <v>大島もとこ（おおしま　もとこ）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8" ht="20.100000000000001" customHeight="1">
      <c r="A12" s="21">
        <v>8</v>
      </c>
      <c r="B12" s="22" t="str">
        <f>設定!$B$5</f>
        <v>大垣市</v>
      </c>
      <c r="C12" s="22" t="str">
        <f>設定!$B$6</f>
        <v>大垣市立静里小学校</v>
      </c>
      <c r="D12" s="22" t="str">
        <f>設定!$B$7</f>
        <v>小学校</v>
      </c>
      <c r="E12" s="23"/>
      <c r="F12" s="23"/>
      <c r="G12" s="23"/>
      <c r="H12" s="23"/>
      <c r="I12" s="22" t="str">
        <f t="shared" si="0"/>
        <v>未入力</v>
      </c>
      <c r="J12" s="22" t="str">
        <f t="shared" si="1"/>
        <v/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8" ht="20.100000000000001" customHeight="1">
      <c r="A13" s="21">
        <v>9</v>
      </c>
      <c r="B13" s="22" t="str">
        <f>設定!$B$5</f>
        <v>大垣市</v>
      </c>
      <c r="C13" s="22" t="str">
        <f>設定!$B$6</f>
        <v>大垣市立静里小学校</v>
      </c>
      <c r="D13" s="22" t="str">
        <f>設定!$B$7</f>
        <v>小学校</v>
      </c>
      <c r="E13" s="23"/>
      <c r="F13" s="23"/>
      <c r="G13" s="23"/>
      <c r="H13" s="23"/>
      <c r="I13" s="22" t="str">
        <f t="shared" si="0"/>
        <v>未入力</v>
      </c>
      <c r="J13" s="22" t="str">
        <f t="shared" si="1"/>
        <v/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8" ht="20.100000000000001" customHeight="1">
      <c r="A14" s="21">
        <v>10</v>
      </c>
      <c r="B14" s="22" t="str">
        <f>設定!$B$5</f>
        <v>大垣市</v>
      </c>
      <c r="C14" s="22" t="str">
        <f>設定!$B$6</f>
        <v>大垣市立静里小学校</v>
      </c>
      <c r="D14" s="22" t="str">
        <f>設定!$B$7</f>
        <v>小学校</v>
      </c>
      <c r="E14" s="23"/>
      <c r="F14" s="23"/>
      <c r="G14" s="23"/>
      <c r="H14" s="23"/>
      <c r="I14" s="22" t="str">
        <f t="shared" si="0"/>
        <v>未入力</v>
      </c>
      <c r="J14" s="22" t="str">
        <f t="shared" si="1"/>
        <v/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8" ht="20.100000000000001" customHeight="1">
      <c r="A15" s="21">
        <v>11</v>
      </c>
      <c r="B15" s="22" t="str">
        <f>設定!$B$5</f>
        <v>大垣市</v>
      </c>
      <c r="C15" s="22" t="str">
        <f>設定!$B$6</f>
        <v>大垣市立静里小学校</v>
      </c>
      <c r="D15" s="22" t="str">
        <f>設定!$B$7</f>
        <v>小学校</v>
      </c>
      <c r="E15" s="23"/>
      <c r="F15" s="23"/>
      <c r="G15" s="23"/>
      <c r="H15" s="23"/>
      <c r="I15" s="22" t="str">
        <f t="shared" si="0"/>
        <v>未入力</v>
      </c>
      <c r="J15" s="22" t="str">
        <f t="shared" si="1"/>
        <v/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8" ht="20.100000000000001" customHeight="1">
      <c r="A16" s="21">
        <v>12</v>
      </c>
      <c r="B16" s="22" t="str">
        <f>設定!$B$5</f>
        <v>大垣市</v>
      </c>
      <c r="C16" s="22" t="str">
        <f>設定!$B$6</f>
        <v>大垣市立静里小学校</v>
      </c>
      <c r="D16" s="22" t="str">
        <f>設定!$B$7</f>
        <v>小学校</v>
      </c>
      <c r="E16" s="23"/>
      <c r="F16" s="23"/>
      <c r="G16" s="23"/>
      <c r="H16" s="23"/>
      <c r="I16" s="22" t="str">
        <f t="shared" si="0"/>
        <v>未入力</v>
      </c>
      <c r="J16" s="22" t="str">
        <f t="shared" si="1"/>
        <v/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100000000000001" customHeight="1">
      <c r="A17" s="21">
        <v>13</v>
      </c>
      <c r="B17" s="22" t="str">
        <f>設定!$B$5</f>
        <v>大垣市</v>
      </c>
      <c r="C17" s="22" t="str">
        <f>設定!$B$6</f>
        <v>大垣市立静里小学校</v>
      </c>
      <c r="D17" s="22" t="str">
        <f>設定!$B$7</f>
        <v>小学校</v>
      </c>
      <c r="E17" s="23"/>
      <c r="F17" s="23"/>
      <c r="G17" s="23"/>
      <c r="H17" s="23"/>
      <c r="I17" s="22" t="str">
        <f t="shared" si="0"/>
        <v>未入力</v>
      </c>
      <c r="J17" s="22" t="str">
        <f t="shared" si="1"/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100000000000001" customHeight="1">
      <c r="A18" s="21">
        <v>14</v>
      </c>
      <c r="B18" s="22" t="str">
        <f>設定!$B$5</f>
        <v>大垣市</v>
      </c>
      <c r="C18" s="22" t="str">
        <f>設定!$B$6</f>
        <v>大垣市立静里小学校</v>
      </c>
      <c r="D18" s="22" t="str">
        <f>設定!$B$7</f>
        <v>小学校</v>
      </c>
      <c r="E18" s="23"/>
      <c r="F18" s="23"/>
      <c r="G18" s="23"/>
      <c r="H18" s="23"/>
      <c r="I18" s="22" t="str">
        <f t="shared" si="0"/>
        <v>未入力</v>
      </c>
      <c r="J18" s="22" t="str">
        <f t="shared" si="1"/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100000000000001" customHeight="1">
      <c r="A19" s="21">
        <v>15</v>
      </c>
      <c r="B19" s="22" t="str">
        <f>設定!$B$5</f>
        <v>大垣市</v>
      </c>
      <c r="C19" s="22" t="str">
        <f>設定!$B$6</f>
        <v>大垣市立静里小学校</v>
      </c>
      <c r="D19" s="22" t="str">
        <f>設定!$B$7</f>
        <v>小学校</v>
      </c>
      <c r="E19" s="23"/>
      <c r="F19" s="23"/>
      <c r="G19" s="23"/>
      <c r="H19" s="23"/>
      <c r="I19" s="22" t="str">
        <f t="shared" si="0"/>
        <v>未入力</v>
      </c>
      <c r="J19" s="22" t="str">
        <f t="shared" si="1"/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100000000000001" customHeight="1">
      <c r="A20" s="21">
        <v>16</v>
      </c>
      <c r="B20" s="22" t="str">
        <f>設定!$B$5</f>
        <v>大垣市</v>
      </c>
      <c r="C20" s="22" t="str">
        <f>設定!$B$6</f>
        <v>大垣市立静里小学校</v>
      </c>
      <c r="D20" s="22" t="str">
        <f>設定!$B$7</f>
        <v>小学校</v>
      </c>
      <c r="E20" s="23"/>
      <c r="F20" s="23"/>
      <c r="G20" s="23"/>
      <c r="H20" s="23"/>
      <c r="I20" s="22" t="str">
        <f t="shared" si="0"/>
        <v>未入力</v>
      </c>
      <c r="J20" s="22" t="str">
        <f t="shared" si="1"/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100000000000001" customHeight="1">
      <c r="A21" s="21">
        <v>17</v>
      </c>
      <c r="B21" s="22" t="str">
        <f>設定!$B$5</f>
        <v>大垣市</v>
      </c>
      <c r="C21" s="22" t="str">
        <f>設定!$B$6</f>
        <v>大垣市立静里小学校</v>
      </c>
      <c r="D21" s="22" t="str">
        <f>設定!$B$7</f>
        <v>小学校</v>
      </c>
      <c r="E21" s="23"/>
      <c r="F21" s="23"/>
      <c r="G21" s="23"/>
      <c r="H21" s="23"/>
      <c r="I21" s="22" t="str">
        <f t="shared" si="0"/>
        <v>未入力</v>
      </c>
      <c r="J21" s="22" t="str">
        <f t="shared" si="1"/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100000000000001" customHeight="1">
      <c r="A22" s="21">
        <v>18</v>
      </c>
      <c r="B22" s="22" t="str">
        <f>設定!$B$5</f>
        <v>大垣市</v>
      </c>
      <c r="C22" s="22" t="str">
        <f>設定!$B$6</f>
        <v>大垣市立静里小学校</v>
      </c>
      <c r="D22" s="22" t="str">
        <f>設定!$B$7</f>
        <v>小学校</v>
      </c>
      <c r="E22" s="23"/>
      <c r="F22" s="23"/>
      <c r="G22" s="23"/>
      <c r="H22" s="23"/>
      <c r="I22" s="22" t="str">
        <f t="shared" si="0"/>
        <v>未入力</v>
      </c>
      <c r="J22" s="22" t="str">
        <f t="shared" si="1"/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100000000000001" customHeight="1">
      <c r="A23" s="21">
        <v>19</v>
      </c>
      <c r="B23" s="22" t="str">
        <f>設定!$B$5</f>
        <v>大垣市</v>
      </c>
      <c r="C23" s="22" t="str">
        <f>設定!$B$6</f>
        <v>大垣市立静里小学校</v>
      </c>
      <c r="D23" s="22" t="str">
        <f>設定!$B$7</f>
        <v>小学校</v>
      </c>
      <c r="E23" s="23"/>
      <c r="F23" s="23"/>
      <c r="G23" s="23"/>
      <c r="H23" s="23"/>
      <c r="I23" s="22" t="str">
        <f t="shared" si="0"/>
        <v>未入力</v>
      </c>
      <c r="J23" s="22" t="str">
        <f t="shared" si="1"/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100000000000001" customHeight="1">
      <c r="A24" s="21">
        <v>20</v>
      </c>
      <c r="B24" s="22" t="str">
        <f>設定!$B$5</f>
        <v>大垣市</v>
      </c>
      <c r="C24" s="22" t="str">
        <f>設定!$B$6</f>
        <v>大垣市立静里小学校</v>
      </c>
      <c r="D24" s="22" t="str">
        <f>設定!$B$7</f>
        <v>小学校</v>
      </c>
      <c r="E24" s="23"/>
      <c r="F24" s="23"/>
      <c r="G24" s="23"/>
      <c r="H24" s="23"/>
      <c r="I24" s="22" t="str">
        <f t="shared" si="0"/>
        <v>未入力</v>
      </c>
      <c r="J24" s="22" t="str">
        <f t="shared" si="1"/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100000000000001" customHeight="1">
      <c r="A25" s="21">
        <v>21</v>
      </c>
      <c r="B25" s="22" t="str">
        <f>設定!$B$5</f>
        <v>大垣市</v>
      </c>
      <c r="C25" s="22" t="str">
        <f>設定!$B$6</f>
        <v>大垣市立静里小学校</v>
      </c>
      <c r="D25" s="22" t="str">
        <f>設定!$B$7</f>
        <v>小学校</v>
      </c>
      <c r="E25" s="23"/>
      <c r="F25" s="23"/>
      <c r="G25" s="23"/>
      <c r="H25" s="23"/>
      <c r="I25" s="22" t="str">
        <f t="shared" si="0"/>
        <v>未入力</v>
      </c>
      <c r="J25" s="22" t="str">
        <f t="shared" si="1"/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100000000000001" customHeight="1">
      <c r="A26" s="21">
        <v>22</v>
      </c>
      <c r="B26" s="22" t="str">
        <f>設定!$B$5</f>
        <v>大垣市</v>
      </c>
      <c r="C26" s="22" t="str">
        <f>設定!$B$6</f>
        <v>大垣市立静里小学校</v>
      </c>
      <c r="D26" s="22" t="str">
        <f>設定!$B$7</f>
        <v>小学校</v>
      </c>
      <c r="E26" s="23"/>
      <c r="F26" s="23"/>
      <c r="G26" s="23"/>
      <c r="H26" s="23"/>
      <c r="I26" s="22" t="str">
        <f t="shared" si="0"/>
        <v>未入力</v>
      </c>
      <c r="J26" s="22" t="str">
        <f t="shared" si="1"/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100000000000001" customHeight="1">
      <c r="A27" s="21">
        <v>23</v>
      </c>
      <c r="B27" s="22" t="str">
        <f>設定!$B$5</f>
        <v>大垣市</v>
      </c>
      <c r="C27" s="22" t="str">
        <f>設定!$B$6</f>
        <v>大垣市立静里小学校</v>
      </c>
      <c r="D27" s="22" t="str">
        <f>設定!$B$7</f>
        <v>小学校</v>
      </c>
      <c r="E27" s="23"/>
      <c r="F27" s="23"/>
      <c r="G27" s="23"/>
      <c r="H27" s="23"/>
      <c r="I27" s="22" t="str">
        <f t="shared" si="0"/>
        <v>未入力</v>
      </c>
      <c r="J27" s="22" t="str">
        <f t="shared" si="1"/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100000000000001" customHeight="1">
      <c r="A28" s="21">
        <v>24</v>
      </c>
      <c r="B28" s="22" t="str">
        <f>設定!$B$5</f>
        <v>大垣市</v>
      </c>
      <c r="C28" s="22" t="str">
        <f>設定!$B$6</f>
        <v>大垣市立静里小学校</v>
      </c>
      <c r="D28" s="22" t="str">
        <f>設定!$B$7</f>
        <v>小学校</v>
      </c>
      <c r="E28" s="23"/>
      <c r="F28" s="23"/>
      <c r="G28" s="23"/>
      <c r="H28" s="23"/>
      <c r="I28" s="22" t="str">
        <f t="shared" si="0"/>
        <v>未入力</v>
      </c>
      <c r="J28" s="22" t="str">
        <f t="shared" si="1"/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100000000000001" customHeight="1">
      <c r="A29" s="21">
        <v>25</v>
      </c>
      <c r="B29" s="22" t="str">
        <f>設定!$B$5</f>
        <v>大垣市</v>
      </c>
      <c r="C29" s="22" t="str">
        <f>設定!$B$6</f>
        <v>大垣市立静里小学校</v>
      </c>
      <c r="D29" s="22" t="str">
        <f>設定!$B$7</f>
        <v>小学校</v>
      </c>
      <c r="E29" s="23"/>
      <c r="F29" s="23"/>
      <c r="G29" s="23"/>
      <c r="H29" s="23"/>
      <c r="I29" s="22" t="str">
        <f t="shared" si="0"/>
        <v>未入力</v>
      </c>
      <c r="J29" s="22" t="str">
        <f t="shared" si="1"/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100000000000001" customHeight="1">
      <c r="A30" s="21">
        <v>26</v>
      </c>
      <c r="B30" s="22" t="str">
        <f>設定!$B$5</f>
        <v>大垣市</v>
      </c>
      <c r="C30" s="22" t="str">
        <f>設定!$B$6</f>
        <v>大垣市立静里小学校</v>
      </c>
      <c r="D30" s="22" t="str">
        <f>設定!$B$7</f>
        <v>小学校</v>
      </c>
      <c r="E30" s="23"/>
      <c r="F30" s="23"/>
      <c r="G30" s="23"/>
      <c r="H30" s="23"/>
      <c r="I30" s="22" t="str">
        <f t="shared" si="0"/>
        <v>未入力</v>
      </c>
      <c r="J30" s="22" t="str">
        <f t="shared" si="1"/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100000000000001" customHeight="1">
      <c r="A31" s="21">
        <v>27</v>
      </c>
      <c r="B31" s="22" t="str">
        <f>設定!$B$5</f>
        <v>大垣市</v>
      </c>
      <c r="C31" s="22" t="str">
        <f>設定!$B$6</f>
        <v>大垣市立静里小学校</v>
      </c>
      <c r="D31" s="22" t="str">
        <f>設定!$B$7</f>
        <v>小学校</v>
      </c>
      <c r="E31" s="23"/>
      <c r="F31" s="23"/>
      <c r="G31" s="23"/>
      <c r="H31" s="23"/>
      <c r="I31" s="22" t="str">
        <f t="shared" si="0"/>
        <v>未入力</v>
      </c>
      <c r="J31" s="22" t="str">
        <f t="shared" si="1"/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100000000000001" customHeight="1">
      <c r="A32" s="21">
        <v>28</v>
      </c>
      <c r="B32" s="22" t="str">
        <f>設定!$B$5</f>
        <v>大垣市</v>
      </c>
      <c r="C32" s="22" t="str">
        <f>設定!$B$6</f>
        <v>大垣市立静里小学校</v>
      </c>
      <c r="D32" s="22" t="str">
        <f>設定!$B$7</f>
        <v>小学校</v>
      </c>
      <c r="E32" s="23"/>
      <c r="F32" s="23"/>
      <c r="G32" s="23"/>
      <c r="H32" s="23"/>
      <c r="I32" s="22" t="str">
        <f t="shared" si="0"/>
        <v>未入力</v>
      </c>
      <c r="J32" s="22" t="str">
        <f t="shared" si="1"/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100000000000001" customHeight="1">
      <c r="A33" s="21">
        <v>29</v>
      </c>
      <c r="B33" s="22" t="str">
        <f>設定!$B$5</f>
        <v>大垣市</v>
      </c>
      <c r="C33" s="22" t="str">
        <f>設定!$B$6</f>
        <v>大垣市立静里小学校</v>
      </c>
      <c r="D33" s="22" t="str">
        <f>設定!$B$7</f>
        <v>小学校</v>
      </c>
      <c r="E33" s="23"/>
      <c r="F33" s="23"/>
      <c r="G33" s="23"/>
      <c r="H33" s="23"/>
      <c r="I33" s="22" t="str">
        <f t="shared" si="0"/>
        <v>未入力</v>
      </c>
      <c r="J33" s="22" t="str">
        <f t="shared" si="1"/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100000000000001" customHeight="1">
      <c r="A34" s="21">
        <v>30</v>
      </c>
      <c r="B34" s="22" t="str">
        <f>設定!$B$5</f>
        <v>大垣市</v>
      </c>
      <c r="C34" s="22" t="str">
        <f>設定!$B$6</f>
        <v>大垣市立静里小学校</v>
      </c>
      <c r="D34" s="22" t="str">
        <f>設定!$B$7</f>
        <v>小学校</v>
      </c>
      <c r="E34" s="23"/>
      <c r="F34" s="23"/>
      <c r="G34" s="23"/>
      <c r="H34" s="23"/>
      <c r="I34" s="22" t="str">
        <f t="shared" si="0"/>
        <v>未入力</v>
      </c>
      <c r="J34" s="22" t="str">
        <f t="shared" si="1"/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100000000000001" customHeight="1">
      <c r="A35" s="21">
        <v>31</v>
      </c>
      <c r="B35" s="22" t="str">
        <f>設定!$B$5</f>
        <v>大垣市</v>
      </c>
      <c r="C35" s="22" t="str">
        <f>設定!$B$6</f>
        <v>大垣市立静里小学校</v>
      </c>
      <c r="D35" s="22" t="str">
        <f>設定!$B$7</f>
        <v>小学校</v>
      </c>
      <c r="E35" s="23"/>
      <c r="F35" s="23"/>
      <c r="G35" s="23"/>
      <c r="H35" s="23"/>
      <c r="I35" s="22" t="str">
        <f t="shared" si="0"/>
        <v>未入力</v>
      </c>
      <c r="J35" s="22" t="str">
        <f t="shared" si="1"/>
        <v/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100000000000001" customHeight="1">
      <c r="A36" s="21">
        <v>32</v>
      </c>
      <c r="B36" s="22" t="str">
        <f>設定!$B$5</f>
        <v>大垣市</v>
      </c>
      <c r="C36" s="22" t="str">
        <f>設定!$B$6</f>
        <v>大垣市立静里小学校</v>
      </c>
      <c r="D36" s="22" t="str">
        <f>設定!$B$7</f>
        <v>小学校</v>
      </c>
      <c r="E36" s="23"/>
      <c r="F36" s="23"/>
      <c r="G36" s="23"/>
      <c r="H36" s="23"/>
      <c r="I36" s="22" t="str">
        <f t="shared" si="0"/>
        <v>未入力</v>
      </c>
      <c r="J36" s="22" t="str">
        <f t="shared" si="1"/>
        <v/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100000000000001" customHeight="1">
      <c r="A37" s="21">
        <v>33</v>
      </c>
      <c r="B37" s="22" t="str">
        <f>設定!$B$5</f>
        <v>大垣市</v>
      </c>
      <c r="C37" s="22" t="str">
        <f>設定!$B$6</f>
        <v>大垣市立静里小学校</v>
      </c>
      <c r="D37" s="22" t="str">
        <f>設定!$B$7</f>
        <v>小学校</v>
      </c>
      <c r="E37" s="23"/>
      <c r="F37" s="23"/>
      <c r="G37" s="23"/>
      <c r="H37" s="23"/>
      <c r="I37" s="22" t="str">
        <f t="shared" ref="I37:I68" si="2">IF(OR(F37="",G37=""),"未入力","OK")</f>
        <v>未入力</v>
      </c>
      <c r="J37" s="22" t="str">
        <f t="shared" ref="J37:J68" si="3">IF(I37="OK",F37&amp;"（"&amp;G37&amp;"）","")</f>
        <v/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100000000000001" customHeight="1">
      <c r="A38" s="21">
        <v>34</v>
      </c>
      <c r="B38" s="22" t="str">
        <f>設定!$B$5</f>
        <v>大垣市</v>
      </c>
      <c r="C38" s="22" t="str">
        <f>設定!$B$6</f>
        <v>大垣市立静里小学校</v>
      </c>
      <c r="D38" s="22" t="str">
        <f>設定!$B$7</f>
        <v>小学校</v>
      </c>
      <c r="E38" s="23"/>
      <c r="F38" s="23"/>
      <c r="G38" s="23"/>
      <c r="H38" s="23"/>
      <c r="I38" s="22" t="str">
        <f t="shared" si="2"/>
        <v>未入力</v>
      </c>
      <c r="J38" s="22" t="str">
        <f t="shared" si="3"/>
        <v/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100000000000001" customHeight="1">
      <c r="A39" s="21">
        <v>35</v>
      </c>
      <c r="B39" s="22" t="str">
        <f>設定!$B$5</f>
        <v>大垣市</v>
      </c>
      <c r="C39" s="22" t="str">
        <f>設定!$B$6</f>
        <v>大垣市立静里小学校</v>
      </c>
      <c r="D39" s="22" t="str">
        <f>設定!$B$7</f>
        <v>小学校</v>
      </c>
      <c r="E39" s="23"/>
      <c r="F39" s="23"/>
      <c r="G39" s="23"/>
      <c r="H39" s="23"/>
      <c r="I39" s="22" t="str">
        <f t="shared" si="2"/>
        <v>未入力</v>
      </c>
      <c r="J39" s="22" t="str">
        <f t="shared" si="3"/>
        <v/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100000000000001" customHeight="1">
      <c r="A40" s="21">
        <v>36</v>
      </c>
      <c r="B40" s="22" t="str">
        <f>設定!$B$5</f>
        <v>大垣市</v>
      </c>
      <c r="C40" s="22" t="str">
        <f>設定!$B$6</f>
        <v>大垣市立静里小学校</v>
      </c>
      <c r="D40" s="22" t="str">
        <f>設定!$B$7</f>
        <v>小学校</v>
      </c>
      <c r="E40" s="23"/>
      <c r="F40" s="23"/>
      <c r="G40" s="23"/>
      <c r="H40" s="23"/>
      <c r="I40" s="22" t="str">
        <f t="shared" si="2"/>
        <v>未入力</v>
      </c>
      <c r="J40" s="22" t="str">
        <f t="shared" si="3"/>
        <v/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100000000000001" customHeight="1">
      <c r="A41" s="21">
        <v>37</v>
      </c>
      <c r="B41" s="22" t="str">
        <f>設定!$B$5</f>
        <v>大垣市</v>
      </c>
      <c r="C41" s="22" t="str">
        <f>設定!$B$6</f>
        <v>大垣市立静里小学校</v>
      </c>
      <c r="D41" s="22" t="str">
        <f>設定!$B$7</f>
        <v>小学校</v>
      </c>
      <c r="E41" s="23"/>
      <c r="F41" s="23"/>
      <c r="G41" s="23"/>
      <c r="H41" s="23"/>
      <c r="I41" s="22" t="str">
        <f t="shared" si="2"/>
        <v>未入力</v>
      </c>
      <c r="J41" s="22" t="str">
        <f t="shared" si="3"/>
        <v/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100000000000001" customHeight="1">
      <c r="A42" s="21">
        <v>38</v>
      </c>
      <c r="B42" s="22" t="str">
        <f>設定!$B$5</f>
        <v>大垣市</v>
      </c>
      <c r="C42" s="22" t="str">
        <f>設定!$B$6</f>
        <v>大垣市立静里小学校</v>
      </c>
      <c r="D42" s="22" t="str">
        <f>設定!$B$7</f>
        <v>小学校</v>
      </c>
      <c r="E42" s="23"/>
      <c r="F42" s="23"/>
      <c r="G42" s="23"/>
      <c r="H42" s="23"/>
      <c r="I42" s="22" t="str">
        <f t="shared" si="2"/>
        <v>未入力</v>
      </c>
      <c r="J42" s="22" t="str">
        <f t="shared" si="3"/>
        <v/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100000000000001" customHeight="1">
      <c r="A43" s="21">
        <v>39</v>
      </c>
      <c r="B43" s="22" t="str">
        <f>設定!$B$5</f>
        <v>大垣市</v>
      </c>
      <c r="C43" s="22" t="str">
        <f>設定!$B$6</f>
        <v>大垣市立静里小学校</v>
      </c>
      <c r="D43" s="22" t="str">
        <f>設定!$B$7</f>
        <v>小学校</v>
      </c>
      <c r="E43" s="23"/>
      <c r="F43" s="23"/>
      <c r="G43" s="23"/>
      <c r="H43" s="23"/>
      <c r="I43" s="22" t="str">
        <f t="shared" si="2"/>
        <v>未入力</v>
      </c>
      <c r="J43" s="22" t="str">
        <f t="shared" si="3"/>
        <v/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100000000000001" customHeight="1">
      <c r="A44" s="21">
        <v>40</v>
      </c>
      <c r="B44" s="22" t="str">
        <f>設定!$B$5</f>
        <v>大垣市</v>
      </c>
      <c r="C44" s="22" t="str">
        <f>設定!$B$6</f>
        <v>大垣市立静里小学校</v>
      </c>
      <c r="D44" s="22" t="str">
        <f>設定!$B$7</f>
        <v>小学校</v>
      </c>
      <c r="E44" s="23"/>
      <c r="F44" s="23"/>
      <c r="G44" s="23"/>
      <c r="H44" s="23"/>
      <c r="I44" s="22" t="str">
        <f t="shared" si="2"/>
        <v>未入力</v>
      </c>
      <c r="J44" s="22" t="str">
        <f t="shared" si="3"/>
        <v/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100000000000001" customHeight="1">
      <c r="A45" s="21">
        <v>41</v>
      </c>
      <c r="B45" s="22" t="str">
        <f>設定!$B$5</f>
        <v>大垣市</v>
      </c>
      <c r="C45" s="22" t="str">
        <f>設定!$B$6</f>
        <v>大垣市立静里小学校</v>
      </c>
      <c r="D45" s="22" t="str">
        <f>設定!$B$7</f>
        <v>小学校</v>
      </c>
      <c r="E45" s="23"/>
      <c r="F45" s="23"/>
      <c r="G45" s="23"/>
      <c r="H45" s="23"/>
      <c r="I45" s="22" t="str">
        <f t="shared" si="2"/>
        <v>未入力</v>
      </c>
      <c r="J45" s="22" t="str">
        <f t="shared" si="3"/>
        <v/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100000000000001" customHeight="1">
      <c r="A46" s="21">
        <v>42</v>
      </c>
      <c r="B46" s="22" t="str">
        <f>設定!$B$5</f>
        <v>大垣市</v>
      </c>
      <c r="C46" s="22" t="str">
        <f>設定!$B$6</f>
        <v>大垣市立静里小学校</v>
      </c>
      <c r="D46" s="22" t="str">
        <f>設定!$B$7</f>
        <v>小学校</v>
      </c>
      <c r="E46" s="23"/>
      <c r="F46" s="23"/>
      <c r="G46" s="23"/>
      <c r="H46" s="23"/>
      <c r="I46" s="22" t="str">
        <f t="shared" si="2"/>
        <v>未入力</v>
      </c>
      <c r="J46" s="22" t="str">
        <f t="shared" si="3"/>
        <v/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100000000000001" customHeight="1">
      <c r="A47" s="21">
        <v>43</v>
      </c>
      <c r="B47" s="22" t="str">
        <f>設定!$B$5</f>
        <v>大垣市</v>
      </c>
      <c r="C47" s="22" t="str">
        <f>設定!$B$6</f>
        <v>大垣市立静里小学校</v>
      </c>
      <c r="D47" s="22" t="str">
        <f>設定!$B$7</f>
        <v>小学校</v>
      </c>
      <c r="E47" s="23"/>
      <c r="F47" s="23"/>
      <c r="G47" s="23"/>
      <c r="H47" s="23"/>
      <c r="I47" s="22" t="str">
        <f t="shared" si="2"/>
        <v>未入力</v>
      </c>
      <c r="J47" s="22" t="str">
        <f t="shared" si="3"/>
        <v/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100000000000001" customHeight="1">
      <c r="A48" s="21">
        <v>44</v>
      </c>
      <c r="B48" s="22" t="str">
        <f>設定!$B$5</f>
        <v>大垣市</v>
      </c>
      <c r="C48" s="22" t="str">
        <f>設定!$B$6</f>
        <v>大垣市立静里小学校</v>
      </c>
      <c r="D48" s="22" t="str">
        <f>設定!$B$7</f>
        <v>小学校</v>
      </c>
      <c r="E48" s="23"/>
      <c r="F48" s="23"/>
      <c r="G48" s="23"/>
      <c r="H48" s="23"/>
      <c r="I48" s="22" t="str">
        <f t="shared" si="2"/>
        <v>未入力</v>
      </c>
      <c r="J48" s="22" t="str">
        <f t="shared" si="3"/>
        <v/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100000000000001" customHeight="1">
      <c r="A49" s="21">
        <v>45</v>
      </c>
      <c r="B49" s="22" t="str">
        <f>設定!$B$5</f>
        <v>大垣市</v>
      </c>
      <c r="C49" s="22" t="str">
        <f>設定!$B$6</f>
        <v>大垣市立静里小学校</v>
      </c>
      <c r="D49" s="22" t="str">
        <f>設定!$B$7</f>
        <v>小学校</v>
      </c>
      <c r="E49" s="23"/>
      <c r="F49" s="23"/>
      <c r="G49" s="23"/>
      <c r="H49" s="23"/>
      <c r="I49" s="22" t="str">
        <f t="shared" si="2"/>
        <v>未入力</v>
      </c>
      <c r="J49" s="22" t="str">
        <f t="shared" si="3"/>
        <v/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.100000000000001" customHeight="1">
      <c r="A50" s="21">
        <v>46</v>
      </c>
      <c r="B50" s="22" t="str">
        <f>設定!$B$5</f>
        <v>大垣市</v>
      </c>
      <c r="C50" s="22" t="str">
        <f>設定!$B$6</f>
        <v>大垣市立静里小学校</v>
      </c>
      <c r="D50" s="22" t="str">
        <f>設定!$B$7</f>
        <v>小学校</v>
      </c>
      <c r="E50" s="23"/>
      <c r="F50" s="23"/>
      <c r="G50" s="23"/>
      <c r="H50" s="23"/>
      <c r="I50" s="22" t="str">
        <f t="shared" si="2"/>
        <v>未入力</v>
      </c>
      <c r="J50" s="22" t="str">
        <f t="shared" si="3"/>
        <v/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100000000000001" customHeight="1">
      <c r="A51" s="21">
        <v>47</v>
      </c>
      <c r="B51" s="22" t="str">
        <f>設定!$B$5</f>
        <v>大垣市</v>
      </c>
      <c r="C51" s="22" t="str">
        <f>設定!$B$6</f>
        <v>大垣市立静里小学校</v>
      </c>
      <c r="D51" s="22" t="str">
        <f>設定!$B$7</f>
        <v>小学校</v>
      </c>
      <c r="E51" s="23"/>
      <c r="F51" s="23"/>
      <c r="G51" s="23"/>
      <c r="H51" s="23"/>
      <c r="I51" s="22" t="str">
        <f t="shared" si="2"/>
        <v>未入力</v>
      </c>
      <c r="J51" s="22" t="str">
        <f t="shared" si="3"/>
        <v/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100000000000001" customHeight="1">
      <c r="A52" s="21">
        <v>48</v>
      </c>
      <c r="B52" s="22" t="str">
        <f>設定!$B$5</f>
        <v>大垣市</v>
      </c>
      <c r="C52" s="22" t="str">
        <f>設定!$B$6</f>
        <v>大垣市立静里小学校</v>
      </c>
      <c r="D52" s="22" t="str">
        <f>設定!$B$7</f>
        <v>小学校</v>
      </c>
      <c r="E52" s="23"/>
      <c r="F52" s="23"/>
      <c r="G52" s="23"/>
      <c r="H52" s="23"/>
      <c r="I52" s="22" t="str">
        <f t="shared" si="2"/>
        <v>未入力</v>
      </c>
      <c r="J52" s="22" t="str">
        <f t="shared" si="3"/>
        <v/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.100000000000001" customHeight="1">
      <c r="A53" s="21">
        <v>49</v>
      </c>
      <c r="B53" s="22" t="str">
        <f>設定!$B$5</f>
        <v>大垣市</v>
      </c>
      <c r="C53" s="22" t="str">
        <f>設定!$B$6</f>
        <v>大垣市立静里小学校</v>
      </c>
      <c r="D53" s="22" t="str">
        <f>設定!$B$7</f>
        <v>小学校</v>
      </c>
      <c r="E53" s="23"/>
      <c r="F53" s="23"/>
      <c r="G53" s="23"/>
      <c r="H53" s="23"/>
      <c r="I53" s="22" t="str">
        <f t="shared" si="2"/>
        <v>未入力</v>
      </c>
      <c r="J53" s="22" t="str">
        <f t="shared" si="3"/>
        <v/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.100000000000001" customHeight="1">
      <c r="A54" s="21">
        <v>50</v>
      </c>
      <c r="B54" s="22" t="str">
        <f>設定!$B$5</f>
        <v>大垣市</v>
      </c>
      <c r="C54" s="22" t="str">
        <f>設定!$B$6</f>
        <v>大垣市立静里小学校</v>
      </c>
      <c r="D54" s="22" t="str">
        <f>設定!$B$7</f>
        <v>小学校</v>
      </c>
      <c r="E54" s="23"/>
      <c r="F54" s="23"/>
      <c r="G54" s="23"/>
      <c r="H54" s="23"/>
      <c r="I54" s="22" t="str">
        <f t="shared" si="2"/>
        <v>未入力</v>
      </c>
      <c r="J54" s="22" t="str">
        <f t="shared" si="3"/>
        <v/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.100000000000001" customHeight="1">
      <c r="A55" s="21">
        <v>51</v>
      </c>
      <c r="B55" s="22" t="str">
        <f>設定!$B$5</f>
        <v>大垣市</v>
      </c>
      <c r="C55" s="22" t="str">
        <f>設定!$B$6</f>
        <v>大垣市立静里小学校</v>
      </c>
      <c r="D55" s="22" t="str">
        <f>設定!$B$7</f>
        <v>小学校</v>
      </c>
      <c r="E55" s="23"/>
      <c r="F55" s="23"/>
      <c r="G55" s="23"/>
      <c r="H55" s="23"/>
      <c r="I55" s="22" t="str">
        <f t="shared" si="2"/>
        <v>未入力</v>
      </c>
      <c r="J55" s="22" t="str">
        <f t="shared" si="3"/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.100000000000001" customHeight="1">
      <c r="A56" s="21">
        <v>52</v>
      </c>
      <c r="B56" s="22" t="str">
        <f>設定!$B$5</f>
        <v>大垣市</v>
      </c>
      <c r="C56" s="22" t="str">
        <f>設定!$B$6</f>
        <v>大垣市立静里小学校</v>
      </c>
      <c r="D56" s="22" t="str">
        <f>設定!$B$7</f>
        <v>小学校</v>
      </c>
      <c r="E56" s="23"/>
      <c r="F56" s="23"/>
      <c r="G56" s="23"/>
      <c r="H56" s="23"/>
      <c r="I56" s="22" t="str">
        <f t="shared" si="2"/>
        <v>未入力</v>
      </c>
      <c r="J56" s="22" t="str">
        <f t="shared" si="3"/>
        <v/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.100000000000001" customHeight="1">
      <c r="A57" s="21">
        <v>53</v>
      </c>
      <c r="B57" s="22" t="str">
        <f>設定!$B$5</f>
        <v>大垣市</v>
      </c>
      <c r="C57" s="22" t="str">
        <f>設定!$B$6</f>
        <v>大垣市立静里小学校</v>
      </c>
      <c r="D57" s="22" t="str">
        <f>設定!$B$7</f>
        <v>小学校</v>
      </c>
      <c r="E57" s="23"/>
      <c r="F57" s="23"/>
      <c r="G57" s="23"/>
      <c r="H57" s="23"/>
      <c r="I57" s="22" t="str">
        <f t="shared" si="2"/>
        <v>未入力</v>
      </c>
      <c r="J57" s="22" t="str">
        <f t="shared" si="3"/>
        <v/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.100000000000001" customHeight="1">
      <c r="A58" s="21">
        <v>54</v>
      </c>
      <c r="B58" s="22" t="str">
        <f>設定!$B$5</f>
        <v>大垣市</v>
      </c>
      <c r="C58" s="22" t="str">
        <f>設定!$B$6</f>
        <v>大垣市立静里小学校</v>
      </c>
      <c r="D58" s="22" t="str">
        <f>設定!$B$7</f>
        <v>小学校</v>
      </c>
      <c r="E58" s="23"/>
      <c r="F58" s="23"/>
      <c r="G58" s="23"/>
      <c r="H58" s="23"/>
      <c r="I58" s="22" t="str">
        <f t="shared" si="2"/>
        <v>未入力</v>
      </c>
      <c r="J58" s="22" t="str">
        <f t="shared" si="3"/>
        <v/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.100000000000001" customHeight="1">
      <c r="A59" s="21">
        <v>55</v>
      </c>
      <c r="B59" s="22" t="str">
        <f>設定!$B$5</f>
        <v>大垣市</v>
      </c>
      <c r="C59" s="22" t="str">
        <f>設定!$B$6</f>
        <v>大垣市立静里小学校</v>
      </c>
      <c r="D59" s="22" t="str">
        <f>設定!$B$7</f>
        <v>小学校</v>
      </c>
      <c r="E59" s="23"/>
      <c r="F59" s="23"/>
      <c r="G59" s="23"/>
      <c r="H59" s="23"/>
      <c r="I59" s="22" t="str">
        <f t="shared" si="2"/>
        <v>未入力</v>
      </c>
      <c r="J59" s="22" t="str">
        <f t="shared" si="3"/>
        <v/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.100000000000001" customHeight="1">
      <c r="A60" s="21">
        <v>56</v>
      </c>
      <c r="B60" s="22" t="str">
        <f>設定!$B$5</f>
        <v>大垣市</v>
      </c>
      <c r="C60" s="22" t="str">
        <f>設定!$B$6</f>
        <v>大垣市立静里小学校</v>
      </c>
      <c r="D60" s="22" t="str">
        <f>設定!$B$7</f>
        <v>小学校</v>
      </c>
      <c r="E60" s="23"/>
      <c r="F60" s="23"/>
      <c r="G60" s="23"/>
      <c r="H60" s="23"/>
      <c r="I60" s="22" t="str">
        <f t="shared" si="2"/>
        <v>未入力</v>
      </c>
      <c r="J60" s="22" t="str">
        <f t="shared" si="3"/>
        <v/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0.100000000000001" customHeight="1">
      <c r="A61" s="21">
        <v>57</v>
      </c>
      <c r="B61" s="22" t="str">
        <f>設定!$B$5</f>
        <v>大垣市</v>
      </c>
      <c r="C61" s="22" t="str">
        <f>設定!$B$6</f>
        <v>大垣市立静里小学校</v>
      </c>
      <c r="D61" s="22" t="str">
        <f>設定!$B$7</f>
        <v>小学校</v>
      </c>
      <c r="E61" s="23"/>
      <c r="F61" s="23"/>
      <c r="G61" s="23"/>
      <c r="H61" s="23"/>
      <c r="I61" s="22" t="str">
        <f t="shared" si="2"/>
        <v>未入力</v>
      </c>
      <c r="J61" s="22" t="str">
        <f t="shared" si="3"/>
        <v/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.100000000000001" customHeight="1">
      <c r="A62" s="21">
        <v>58</v>
      </c>
      <c r="B62" s="22" t="str">
        <f>設定!$B$5</f>
        <v>大垣市</v>
      </c>
      <c r="C62" s="22" t="str">
        <f>設定!$B$6</f>
        <v>大垣市立静里小学校</v>
      </c>
      <c r="D62" s="22" t="str">
        <f>設定!$B$7</f>
        <v>小学校</v>
      </c>
      <c r="E62" s="23"/>
      <c r="F62" s="23"/>
      <c r="G62" s="23"/>
      <c r="H62" s="23"/>
      <c r="I62" s="22" t="str">
        <f t="shared" si="2"/>
        <v>未入力</v>
      </c>
      <c r="J62" s="22" t="str">
        <f t="shared" si="3"/>
        <v/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100000000000001" customHeight="1">
      <c r="A63" s="21">
        <v>59</v>
      </c>
      <c r="B63" s="22" t="str">
        <f>設定!$B$5</f>
        <v>大垣市</v>
      </c>
      <c r="C63" s="22" t="str">
        <f>設定!$B$6</f>
        <v>大垣市立静里小学校</v>
      </c>
      <c r="D63" s="22" t="str">
        <f>設定!$B$7</f>
        <v>小学校</v>
      </c>
      <c r="E63" s="23"/>
      <c r="F63" s="23"/>
      <c r="G63" s="23"/>
      <c r="H63" s="23"/>
      <c r="I63" s="22" t="str">
        <f t="shared" si="2"/>
        <v>未入力</v>
      </c>
      <c r="J63" s="22" t="str">
        <f t="shared" si="3"/>
        <v/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.100000000000001" customHeight="1">
      <c r="A64" s="21">
        <v>60</v>
      </c>
      <c r="B64" s="22" t="str">
        <f>設定!$B$5</f>
        <v>大垣市</v>
      </c>
      <c r="C64" s="22" t="str">
        <f>設定!$B$6</f>
        <v>大垣市立静里小学校</v>
      </c>
      <c r="D64" s="22" t="str">
        <f>設定!$B$7</f>
        <v>小学校</v>
      </c>
      <c r="E64" s="23"/>
      <c r="F64" s="23"/>
      <c r="G64" s="23"/>
      <c r="H64" s="23"/>
      <c r="I64" s="22" t="str">
        <f t="shared" si="2"/>
        <v>未入力</v>
      </c>
      <c r="J64" s="22" t="str">
        <f t="shared" si="3"/>
        <v/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.100000000000001" customHeight="1">
      <c r="A65" s="21">
        <v>61</v>
      </c>
      <c r="B65" s="22" t="str">
        <f>設定!$B$5</f>
        <v>大垣市</v>
      </c>
      <c r="C65" s="22" t="str">
        <f>設定!$B$6</f>
        <v>大垣市立静里小学校</v>
      </c>
      <c r="D65" s="22" t="str">
        <f>設定!$B$7</f>
        <v>小学校</v>
      </c>
      <c r="E65" s="23"/>
      <c r="F65" s="23"/>
      <c r="G65" s="23"/>
      <c r="H65" s="23"/>
      <c r="I65" s="22" t="str">
        <f t="shared" si="2"/>
        <v>未入力</v>
      </c>
      <c r="J65" s="22" t="str">
        <f t="shared" si="3"/>
        <v/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.100000000000001" customHeight="1">
      <c r="A66" s="21">
        <v>62</v>
      </c>
      <c r="B66" s="22" t="str">
        <f>設定!$B$5</f>
        <v>大垣市</v>
      </c>
      <c r="C66" s="22" t="str">
        <f>設定!$B$6</f>
        <v>大垣市立静里小学校</v>
      </c>
      <c r="D66" s="22" t="str">
        <f>設定!$B$7</f>
        <v>小学校</v>
      </c>
      <c r="E66" s="23"/>
      <c r="F66" s="23"/>
      <c r="G66" s="23"/>
      <c r="H66" s="23"/>
      <c r="I66" s="22" t="str">
        <f t="shared" si="2"/>
        <v>未入力</v>
      </c>
      <c r="J66" s="22" t="str">
        <f t="shared" si="3"/>
        <v/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.100000000000001" customHeight="1">
      <c r="A67" s="21">
        <v>63</v>
      </c>
      <c r="B67" s="22" t="str">
        <f>設定!$B$5</f>
        <v>大垣市</v>
      </c>
      <c r="C67" s="22" t="str">
        <f>設定!$B$6</f>
        <v>大垣市立静里小学校</v>
      </c>
      <c r="D67" s="22" t="str">
        <f>設定!$B$7</f>
        <v>小学校</v>
      </c>
      <c r="E67" s="23"/>
      <c r="F67" s="23"/>
      <c r="G67" s="23"/>
      <c r="H67" s="23"/>
      <c r="I67" s="22" t="str">
        <f t="shared" si="2"/>
        <v>未入力</v>
      </c>
      <c r="J67" s="22" t="str">
        <f t="shared" si="3"/>
        <v/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.100000000000001" customHeight="1">
      <c r="A68" s="21">
        <v>64</v>
      </c>
      <c r="B68" s="22" t="str">
        <f>設定!$B$5</f>
        <v>大垣市</v>
      </c>
      <c r="C68" s="22" t="str">
        <f>設定!$B$6</f>
        <v>大垣市立静里小学校</v>
      </c>
      <c r="D68" s="22" t="str">
        <f>設定!$B$7</f>
        <v>小学校</v>
      </c>
      <c r="E68" s="23"/>
      <c r="F68" s="23"/>
      <c r="G68" s="23"/>
      <c r="H68" s="23"/>
      <c r="I68" s="22" t="str">
        <f t="shared" si="2"/>
        <v>未入力</v>
      </c>
      <c r="J68" s="22" t="str">
        <f t="shared" si="3"/>
        <v/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.100000000000001" customHeight="1">
      <c r="A69" s="21">
        <v>65</v>
      </c>
      <c r="B69" s="22" t="str">
        <f>設定!$B$5</f>
        <v>大垣市</v>
      </c>
      <c r="C69" s="22" t="str">
        <f>設定!$B$6</f>
        <v>大垣市立静里小学校</v>
      </c>
      <c r="D69" s="22" t="str">
        <f>設定!$B$7</f>
        <v>小学校</v>
      </c>
      <c r="E69" s="23"/>
      <c r="F69" s="23"/>
      <c r="G69" s="23"/>
      <c r="H69" s="23"/>
      <c r="I69" s="22" t="str">
        <f t="shared" ref="I69:I104" si="4">IF(OR(F69="",G69=""),"未入力","OK")</f>
        <v>未入力</v>
      </c>
      <c r="J69" s="22" t="str">
        <f t="shared" ref="J69:J100" si="5">IF(I69="OK",F69&amp;"（"&amp;G69&amp;"）","")</f>
        <v/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.100000000000001" customHeight="1">
      <c r="A70" s="21">
        <v>66</v>
      </c>
      <c r="B70" s="22" t="str">
        <f>設定!$B$5</f>
        <v>大垣市</v>
      </c>
      <c r="C70" s="22" t="str">
        <f>設定!$B$6</f>
        <v>大垣市立静里小学校</v>
      </c>
      <c r="D70" s="22" t="str">
        <f>設定!$B$7</f>
        <v>小学校</v>
      </c>
      <c r="E70" s="23"/>
      <c r="F70" s="23"/>
      <c r="G70" s="23"/>
      <c r="H70" s="23"/>
      <c r="I70" s="22" t="str">
        <f t="shared" si="4"/>
        <v>未入力</v>
      </c>
      <c r="J70" s="22" t="str">
        <f t="shared" si="5"/>
        <v/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.100000000000001" customHeight="1">
      <c r="A71" s="21">
        <v>67</v>
      </c>
      <c r="B71" s="22" t="str">
        <f>設定!$B$5</f>
        <v>大垣市</v>
      </c>
      <c r="C71" s="22" t="str">
        <f>設定!$B$6</f>
        <v>大垣市立静里小学校</v>
      </c>
      <c r="D71" s="22" t="str">
        <f>設定!$B$7</f>
        <v>小学校</v>
      </c>
      <c r="E71" s="23"/>
      <c r="F71" s="23"/>
      <c r="G71" s="23"/>
      <c r="H71" s="23"/>
      <c r="I71" s="22" t="str">
        <f t="shared" si="4"/>
        <v>未入力</v>
      </c>
      <c r="J71" s="22" t="str">
        <f t="shared" si="5"/>
        <v/>
      </c>
    </row>
    <row r="72" spans="1:26" ht="20.100000000000001" customHeight="1">
      <c r="A72" s="21">
        <v>68</v>
      </c>
      <c r="B72" s="22" t="str">
        <f>設定!$B$5</f>
        <v>大垣市</v>
      </c>
      <c r="C72" s="22" t="str">
        <f>設定!$B$6</f>
        <v>大垣市立静里小学校</v>
      </c>
      <c r="D72" s="22" t="str">
        <f>設定!$B$7</f>
        <v>小学校</v>
      </c>
      <c r="E72" s="23"/>
      <c r="F72" s="23"/>
      <c r="G72" s="23"/>
      <c r="H72" s="23"/>
      <c r="I72" s="22" t="str">
        <f t="shared" si="4"/>
        <v>未入力</v>
      </c>
      <c r="J72" s="22" t="str">
        <f t="shared" si="5"/>
        <v/>
      </c>
    </row>
    <row r="73" spans="1:26" ht="20.100000000000001" customHeight="1">
      <c r="A73" s="21">
        <v>69</v>
      </c>
      <c r="B73" s="22" t="str">
        <f>設定!$B$5</f>
        <v>大垣市</v>
      </c>
      <c r="C73" s="22" t="str">
        <f>設定!$B$6</f>
        <v>大垣市立静里小学校</v>
      </c>
      <c r="D73" s="22" t="str">
        <f>設定!$B$7</f>
        <v>小学校</v>
      </c>
      <c r="E73" s="23"/>
      <c r="F73" s="23"/>
      <c r="G73" s="23"/>
      <c r="H73" s="23"/>
      <c r="I73" s="22" t="str">
        <f t="shared" si="4"/>
        <v>未入力</v>
      </c>
      <c r="J73" s="22" t="str">
        <f t="shared" si="5"/>
        <v/>
      </c>
    </row>
    <row r="74" spans="1:26" ht="20.100000000000001" customHeight="1">
      <c r="A74" s="21">
        <v>70</v>
      </c>
      <c r="B74" s="22" t="str">
        <f>設定!$B$5</f>
        <v>大垣市</v>
      </c>
      <c r="C74" s="22" t="str">
        <f>設定!$B$6</f>
        <v>大垣市立静里小学校</v>
      </c>
      <c r="D74" s="22" t="str">
        <f>設定!$B$7</f>
        <v>小学校</v>
      </c>
      <c r="E74" s="23"/>
      <c r="F74" s="23"/>
      <c r="G74" s="23"/>
      <c r="H74" s="23"/>
      <c r="I74" s="22" t="str">
        <f t="shared" si="4"/>
        <v>未入力</v>
      </c>
      <c r="J74" s="22" t="str">
        <f t="shared" si="5"/>
        <v/>
      </c>
    </row>
    <row r="75" spans="1:26" ht="20.100000000000001" customHeight="1">
      <c r="A75" s="21">
        <v>71</v>
      </c>
      <c r="B75" s="22" t="str">
        <f>設定!$B$5</f>
        <v>大垣市</v>
      </c>
      <c r="C75" s="22" t="str">
        <f>設定!$B$6</f>
        <v>大垣市立静里小学校</v>
      </c>
      <c r="D75" s="22" t="str">
        <f>設定!$B$7</f>
        <v>小学校</v>
      </c>
      <c r="E75" s="23"/>
      <c r="F75" s="23"/>
      <c r="G75" s="23"/>
      <c r="H75" s="23"/>
      <c r="I75" s="22" t="str">
        <f t="shared" si="4"/>
        <v>未入力</v>
      </c>
      <c r="J75" s="22" t="str">
        <f t="shared" si="5"/>
        <v/>
      </c>
    </row>
    <row r="76" spans="1:26" ht="20.100000000000001" customHeight="1">
      <c r="A76" s="21">
        <v>72</v>
      </c>
      <c r="B76" s="22" t="str">
        <f>設定!$B$5</f>
        <v>大垣市</v>
      </c>
      <c r="C76" s="22" t="str">
        <f>設定!$B$6</f>
        <v>大垣市立静里小学校</v>
      </c>
      <c r="D76" s="22" t="str">
        <f>設定!$B$7</f>
        <v>小学校</v>
      </c>
      <c r="E76" s="23"/>
      <c r="F76" s="23"/>
      <c r="G76" s="23"/>
      <c r="H76" s="23"/>
      <c r="I76" s="22" t="str">
        <f t="shared" si="4"/>
        <v>未入力</v>
      </c>
      <c r="J76" s="22" t="str">
        <f t="shared" si="5"/>
        <v/>
      </c>
    </row>
    <row r="77" spans="1:26" ht="20.100000000000001" customHeight="1">
      <c r="A77" s="21">
        <v>73</v>
      </c>
      <c r="B77" s="22" t="str">
        <f>設定!$B$5</f>
        <v>大垣市</v>
      </c>
      <c r="C77" s="22" t="str">
        <f>設定!$B$6</f>
        <v>大垣市立静里小学校</v>
      </c>
      <c r="D77" s="22" t="str">
        <f>設定!$B$7</f>
        <v>小学校</v>
      </c>
      <c r="E77" s="23"/>
      <c r="F77" s="23"/>
      <c r="G77" s="23"/>
      <c r="H77" s="23"/>
      <c r="I77" s="22" t="str">
        <f t="shared" si="4"/>
        <v>未入力</v>
      </c>
      <c r="J77" s="22" t="str">
        <f t="shared" si="5"/>
        <v/>
      </c>
    </row>
    <row r="78" spans="1:26" ht="20.100000000000001" customHeight="1">
      <c r="A78" s="21">
        <v>74</v>
      </c>
      <c r="B78" s="22" t="str">
        <f>設定!$B$5</f>
        <v>大垣市</v>
      </c>
      <c r="C78" s="22" t="str">
        <f>設定!$B$6</f>
        <v>大垣市立静里小学校</v>
      </c>
      <c r="D78" s="22" t="str">
        <f>設定!$B$7</f>
        <v>小学校</v>
      </c>
      <c r="E78" s="23"/>
      <c r="F78" s="23"/>
      <c r="G78" s="23"/>
      <c r="H78" s="23"/>
      <c r="I78" s="22" t="str">
        <f t="shared" si="4"/>
        <v>未入力</v>
      </c>
      <c r="J78" s="22" t="str">
        <f t="shared" si="5"/>
        <v/>
      </c>
    </row>
    <row r="79" spans="1:26" ht="20.100000000000001" customHeight="1">
      <c r="A79" s="21">
        <v>75</v>
      </c>
      <c r="B79" s="22" t="str">
        <f>設定!$B$5</f>
        <v>大垣市</v>
      </c>
      <c r="C79" s="22" t="str">
        <f>設定!$B$6</f>
        <v>大垣市立静里小学校</v>
      </c>
      <c r="D79" s="22" t="str">
        <f>設定!$B$7</f>
        <v>小学校</v>
      </c>
      <c r="E79" s="23"/>
      <c r="F79" s="23"/>
      <c r="G79" s="23"/>
      <c r="H79" s="23"/>
      <c r="I79" s="22" t="str">
        <f t="shared" si="4"/>
        <v>未入力</v>
      </c>
      <c r="J79" s="22" t="str">
        <f t="shared" si="5"/>
        <v/>
      </c>
    </row>
    <row r="80" spans="1:26" ht="20.100000000000001" customHeight="1">
      <c r="A80" s="21">
        <v>76</v>
      </c>
      <c r="B80" s="22" t="str">
        <f>設定!$B$5</f>
        <v>大垣市</v>
      </c>
      <c r="C80" s="22" t="str">
        <f>設定!$B$6</f>
        <v>大垣市立静里小学校</v>
      </c>
      <c r="D80" s="22" t="str">
        <f>設定!$B$7</f>
        <v>小学校</v>
      </c>
      <c r="E80" s="23"/>
      <c r="F80" s="23"/>
      <c r="G80" s="23"/>
      <c r="H80" s="23"/>
      <c r="I80" s="22" t="str">
        <f t="shared" si="4"/>
        <v>未入力</v>
      </c>
      <c r="J80" s="22" t="str">
        <f t="shared" si="5"/>
        <v/>
      </c>
    </row>
    <row r="81" spans="1:10" ht="20.100000000000001" customHeight="1">
      <c r="A81" s="21">
        <v>77</v>
      </c>
      <c r="B81" s="22" t="str">
        <f>設定!$B$5</f>
        <v>大垣市</v>
      </c>
      <c r="C81" s="22" t="str">
        <f>設定!$B$6</f>
        <v>大垣市立静里小学校</v>
      </c>
      <c r="D81" s="22" t="str">
        <f>設定!$B$7</f>
        <v>小学校</v>
      </c>
      <c r="E81" s="23"/>
      <c r="F81" s="23"/>
      <c r="G81" s="23"/>
      <c r="H81" s="23"/>
      <c r="I81" s="22" t="str">
        <f t="shared" si="4"/>
        <v>未入力</v>
      </c>
      <c r="J81" s="22" t="str">
        <f t="shared" si="5"/>
        <v/>
      </c>
    </row>
    <row r="82" spans="1:10" ht="20.100000000000001" customHeight="1">
      <c r="A82" s="21">
        <v>78</v>
      </c>
      <c r="B82" s="22" t="str">
        <f>設定!$B$5</f>
        <v>大垣市</v>
      </c>
      <c r="C82" s="22" t="str">
        <f>設定!$B$6</f>
        <v>大垣市立静里小学校</v>
      </c>
      <c r="D82" s="22" t="str">
        <f>設定!$B$7</f>
        <v>小学校</v>
      </c>
      <c r="E82" s="23"/>
      <c r="F82" s="23"/>
      <c r="G82" s="23"/>
      <c r="H82" s="23"/>
      <c r="I82" s="22" t="str">
        <f t="shared" si="4"/>
        <v>未入力</v>
      </c>
      <c r="J82" s="22" t="str">
        <f t="shared" si="5"/>
        <v/>
      </c>
    </row>
    <row r="83" spans="1:10" ht="20.100000000000001" customHeight="1">
      <c r="A83" s="21">
        <v>79</v>
      </c>
      <c r="B83" s="22" t="str">
        <f>設定!$B$5</f>
        <v>大垣市</v>
      </c>
      <c r="C83" s="22" t="str">
        <f>設定!$B$6</f>
        <v>大垣市立静里小学校</v>
      </c>
      <c r="D83" s="22" t="str">
        <f>設定!$B$7</f>
        <v>小学校</v>
      </c>
      <c r="E83" s="23"/>
      <c r="F83" s="23"/>
      <c r="G83" s="23"/>
      <c r="H83" s="23"/>
      <c r="I83" s="22" t="str">
        <f t="shared" si="4"/>
        <v>未入力</v>
      </c>
      <c r="J83" s="22" t="str">
        <f t="shared" si="5"/>
        <v/>
      </c>
    </row>
    <row r="84" spans="1:10" ht="20.100000000000001" customHeight="1">
      <c r="A84" s="21">
        <v>80</v>
      </c>
      <c r="B84" s="22" t="str">
        <f>設定!$B$5</f>
        <v>大垣市</v>
      </c>
      <c r="C84" s="22" t="str">
        <f>設定!$B$6</f>
        <v>大垣市立静里小学校</v>
      </c>
      <c r="D84" s="22" t="str">
        <f>設定!$B$7</f>
        <v>小学校</v>
      </c>
      <c r="E84" s="23"/>
      <c r="F84" s="23"/>
      <c r="G84" s="23"/>
      <c r="H84" s="23"/>
      <c r="I84" s="22" t="str">
        <f t="shared" si="4"/>
        <v>未入力</v>
      </c>
      <c r="J84" s="22" t="str">
        <f t="shared" si="5"/>
        <v/>
      </c>
    </row>
    <row r="85" spans="1:10" ht="20.100000000000001" customHeight="1">
      <c r="A85" s="21">
        <v>81</v>
      </c>
      <c r="B85" s="22" t="str">
        <f>設定!$B$5</f>
        <v>大垣市</v>
      </c>
      <c r="C85" s="22" t="str">
        <f>設定!$B$6</f>
        <v>大垣市立静里小学校</v>
      </c>
      <c r="D85" s="22" t="str">
        <f>設定!$B$7</f>
        <v>小学校</v>
      </c>
      <c r="E85" s="23"/>
      <c r="F85" s="23"/>
      <c r="G85" s="23"/>
      <c r="H85" s="23"/>
      <c r="I85" s="22" t="str">
        <f t="shared" si="4"/>
        <v>未入力</v>
      </c>
      <c r="J85" s="22" t="str">
        <f t="shared" si="5"/>
        <v/>
      </c>
    </row>
    <row r="86" spans="1:10" ht="20.100000000000001" customHeight="1">
      <c r="A86" s="21">
        <v>82</v>
      </c>
      <c r="B86" s="22" t="str">
        <f>設定!$B$5</f>
        <v>大垣市</v>
      </c>
      <c r="C86" s="22" t="str">
        <f>設定!$B$6</f>
        <v>大垣市立静里小学校</v>
      </c>
      <c r="D86" s="22" t="str">
        <f>設定!$B$7</f>
        <v>小学校</v>
      </c>
      <c r="E86" s="23"/>
      <c r="F86" s="23"/>
      <c r="G86" s="23"/>
      <c r="H86" s="23"/>
      <c r="I86" s="22" t="str">
        <f t="shared" si="4"/>
        <v>未入力</v>
      </c>
      <c r="J86" s="22" t="str">
        <f t="shared" si="5"/>
        <v/>
      </c>
    </row>
    <row r="87" spans="1:10" ht="20.100000000000001" customHeight="1">
      <c r="A87" s="21">
        <v>83</v>
      </c>
      <c r="B87" s="22" t="str">
        <f>設定!$B$5</f>
        <v>大垣市</v>
      </c>
      <c r="C87" s="22" t="str">
        <f>設定!$B$6</f>
        <v>大垣市立静里小学校</v>
      </c>
      <c r="D87" s="22" t="str">
        <f>設定!$B$7</f>
        <v>小学校</v>
      </c>
      <c r="E87" s="23"/>
      <c r="F87" s="23"/>
      <c r="G87" s="23"/>
      <c r="H87" s="23"/>
      <c r="I87" s="22" t="str">
        <f t="shared" si="4"/>
        <v>未入力</v>
      </c>
      <c r="J87" s="22" t="str">
        <f t="shared" si="5"/>
        <v/>
      </c>
    </row>
    <row r="88" spans="1:10" ht="20.100000000000001" customHeight="1">
      <c r="A88" s="21">
        <v>84</v>
      </c>
      <c r="B88" s="22" t="str">
        <f>設定!$B$5</f>
        <v>大垣市</v>
      </c>
      <c r="C88" s="22" t="str">
        <f>設定!$B$6</f>
        <v>大垣市立静里小学校</v>
      </c>
      <c r="D88" s="22" t="str">
        <f>設定!$B$7</f>
        <v>小学校</v>
      </c>
      <c r="E88" s="23"/>
      <c r="F88" s="23"/>
      <c r="G88" s="23"/>
      <c r="H88" s="23"/>
      <c r="I88" s="22" t="str">
        <f t="shared" si="4"/>
        <v>未入力</v>
      </c>
      <c r="J88" s="22" t="str">
        <f t="shared" si="5"/>
        <v/>
      </c>
    </row>
    <row r="89" spans="1:10" ht="20.100000000000001" customHeight="1">
      <c r="A89" s="21">
        <v>85</v>
      </c>
      <c r="B89" s="22" t="str">
        <f>設定!$B$5</f>
        <v>大垣市</v>
      </c>
      <c r="C89" s="22" t="str">
        <f>設定!$B$6</f>
        <v>大垣市立静里小学校</v>
      </c>
      <c r="D89" s="22" t="str">
        <f>設定!$B$7</f>
        <v>小学校</v>
      </c>
      <c r="E89" s="23"/>
      <c r="F89" s="23"/>
      <c r="G89" s="23"/>
      <c r="H89" s="23"/>
      <c r="I89" s="22" t="str">
        <f t="shared" si="4"/>
        <v>未入力</v>
      </c>
      <c r="J89" s="22" t="str">
        <f t="shared" si="5"/>
        <v/>
      </c>
    </row>
    <row r="90" spans="1:10" ht="20.100000000000001" customHeight="1">
      <c r="A90" s="21">
        <v>86</v>
      </c>
      <c r="B90" s="22" t="str">
        <f>設定!$B$5</f>
        <v>大垣市</v>
      </c>
      <c r="C90" s="22" t="str">
        <f>設定!$B$6</f>
        <v>大垣市立静里小学校</v>
      </c>
      <c r="D90" s="22" t="str">
        <f>設定!$B$7</f>
        <v>小学校</v>
      </c>
      <c r="E90" s="23"/>
      <c r="F90" s="23"/>
      <c r="G90" s="23"/>
      <c r="H90" s="23"/>
      <c r="I90" s="22" t="str">
        <f t="shared" si="4"/>
        <v>未入力</v>
      </c>
      <c r="J90" s="22" t="str">
        <f t="shared" si="5"/>
        <v/>
      </c>
    </row>
    <row r="91" spans="1:10" ht="20.100000000000001" customHeight="1">
      <c r="A91" s="21">
        <v>87</v>
      </c>
      <c r="B91" s="22" t="str">
        <f>設定!$B$5</f>
        <v>大垣市</v>
      </c>
      <c r="C91" s="22" t="str">
        <f>設定!$B$6</f>
        <v>大垣市立静里小学校</v>
      </c>
      <c r="D91" s="22" t="str">
        <f>設定!$B$7</f>
        <v>小学校</v>
      </c>
      <c r="E91" s="23"/>
      <c r="F91" s="23"/>
      <c r="G91" s="23"/>
      <c r="H91" s="23"/>
      <c r="I91" s="22" t="str">
        <f t="shared" si="4"/>
        <v>未入力</v>
      </c>
      <c r="J91" s="22" t="str">
        <f t="shared" si="5"/>
        <v/>
      </c>
    </row>
    <row r="92" spans="1:10" ht="20.100000000000001" customHeight="1">
      <c r="A92" s="21">
        <v>88</v>
      </c>
      <c r="B92" s="22" t="str">
        <f>設定!$B$5</f>
        <v>大垣市</v>
      </c>
      <c r="C92" s="22" t="str">
        <f>設定!$B$6</f>
        <v>大垣市立静里小学校</v>
      </c>
      <c r="D92" s="22" t="str">
        <f>設定!$B$7</f>
        <v>小学校</v>
      </c>
      <c r="E92" s="23"/>
      <c r="F92" s="23"/>
      <c r="G92" s="23"/>
      <c r="H92" s="23"/>
      <c r="I92" s="22" t="str">
        <f t="shared" si="4"/>
        <v>未入力</v>
      </c>
      <c r="J92" s="22" t="str">
        <f t="shared" si="5"/>
        <v/>
      </c>
    </row>
    <row r="93" spans="1:10" ht="20.100000000000001" customHeight="1">
      <c r="A93" s="21">
        <v>89</v>
      </c>
      <c r="B93" s="22" t="str">
        <f>設定!$B$5</f>
        <v>大垣市</v>
      </c>
      <c r="C93" s="22" t="str">
        <f>設定!$B$6</f>
        <v>大垣市立静里小学校</v>
      </c>
      <c r="D93" s="22" t="str">
        <f>設定!$B$7</f>
        <v>小学校</v>
      </c>
      <c r="E93" s="23"/>
      <c r="F93" s="23"/>
      <c r="G93" s="23"/>
      <c r="H93" s="23"/>
      <c r="I93" s="22" t="str">
        <f t="shared" si="4"/>
        <v>未入力</v>
      </c>
      <c r="J93" s="22" t="str">
        <f t="shared" si="5"/>
        <v/>
      </c>
    </row>
    <row r="94" spans="1:10" ht="20.100000000000001" customHeight="1">
      <c r="A94" s="21">
        <v>90</v>
      </c>
      <c r="B94" s="22" t="str">
        <f>設定!$B$5</f>
        <v>大垣市</v>
      </c>
      <c r="C94" s="22" t="str">
        <f>設定!$B$6</f>
        <v>大垣市立静里小学校</v>
      </c>
      <c r="D94" s="22" t="str">
        <f>設定!$B$7</f>
        <v>小学校</v>
      </c>
      <c r="E94" s="23"/>
      <c r="F94" s="23"/>
      <c r="G94" s="23"/>
      <c r="H94" s="23"/>
      <c r="I94" s="22" t="str">
        <f t="shared" si="4"/>
        <v>未入力</v>
      </c>
      <c r="J94" s="22" t="str">
        <f t="shared" si="5"/>
        <v/>
      </c>
    </row>
    <row r="95" spans="1:10" ht="20.100000000000001" customHeight="1">
      <c r="A95" s="21">
        <v>91</v>
      </c>
      <c r="B95" s="22" t="str">
        <f>設定!$B$5</f>
        <v>大垣市</v>
      </c>
      <c r="C95" s="22" t="str">
        <f>設定!$B$6</f>
        <v>大垣市立静里小学校</v>
      </c>
      <c r="D95" s="22" t="str">
        <f>設定!$B$7</f>
        <v>小学校</v>
      </c>
      <c r="E95" s="23"/>
      <c r="F95" s="23"/>
      <c r="G95" s="23"/>
      <c r="H95" s="23"/>
      <c r="I95" s="22" t="str">
        <f t="shared" si="4"/>
        <v>未入力</v>
      </c>
      <c r="J95" s="22" t="str">
        <f t="shared" si="5"/>
        <v/>
      </c>
    </row>
    <row r="96" spans="1:10" ht="20.100000000000001" customHeight="1">
      <c r="A96" s="21">
        <v>92</v>
      </c>
      <c r="B96" s="22" t="str">
        <f>設定!$B$5</f>
        <v>大垣市</v>
      </c>
      <c r="C96" s="22" t="str">
        <f>設定!$B$6</f>
        <v>大垣市立静里小学校</v>
      </c>
      <c r="D96" s="22" t="str">
        <f>設定!$B$7</f>
        <v>小学校</v>
      </c>
      <c r="E96" s="23"/>
      <c r="F96" s="23"/>
      <c r="G96" s="23"/>
      <c r="H96" s="23"/>
      <c r="I96" s="22" t="str">
        <f t="shared" si="4"/>
        <v>未入力</v>
      </c>
      <c r="J96" s="22" t="str">
        <f t="shared" si="5"/>
        <v/>
      </c>
    </row>
    <row r="97" spans="1:10" ht="20.100000000000001" customHeight="1">
      <c r="A97" s="21">
        <v>93</v>
      </c>
      <c r="B97" s="22" t="str">
        <f>設定!$B$5</f>
        <v>大垣市</v>
      </c>
      <c r="C97" s="22" t="str">
        <f>設定!$B$6</f>
        <v>大垣市立静里小学校</v>
      </c>
      <c r="D97" s="22" t="str">
        <f>設定!$B$7</f>
        <v>小学校</v>
      </c>
      <c r="E97" s="23"/>
      <c r="F97" s="23"/>
      <c r="G97" s="23"/>
      <c r="H97" s="23"/>
      <c r="I97" s="22" t="str">
        <f t="shared" si="4"/>
        <v>未入力</v>
      </c>
      <c r="J97" s="22" t="str">
        <f t="shared" si="5"/>
        <v/>
      </c>
    </row>
    <row r="98" spans="1:10" ht="20.100000000000001" customHeight="1">
      <c r="A98" s="21">
        <v>94</v>
      </c>
      <c r="B98" s="22" t="str">
        <f>設定!$B$5</f>
        <v>大垣市</v>
      </c>
      <c r="C98" s="22" t="str">
        <f>設定!$B$6</f>
        <v>大垣市立静里小学校</v>
      </c>
      <c r="D98" s="22" t="str">
        <f>設定!$B$7</f>
        <v>小学校</v>
      </c>
      <c r="E98" s="23"/>
      <c r="F98" s="23"/>
      <c r="G98" s="23"/>
      <c r="H98" s="23"/>
      <c r="I98" s="22" t="str">
        <f t="shared" si="4"/>
        <v>未入力</v>
      </c>
      <c r="J98" s="22" t="str">
        <f t="shared" si="5"/>
        <v/>
      </c>
    </row>
    <row r="99" spans="1:10" ht="20.100000000000001" customHeight="1">
      <c r="A99" s="21">
        <v>95</v>
      </c>
      <c r="B99" s="22" t="str">
        <f>設定!$B$5</f>
        <v>大垣市</v>
      </c>
      <c r="C99" s="22" t="str">
        <f>設定!$B$6</f>
        <v>大垣市立静里小学校</v>
      </c>
      <c r="D99" s="22" t="str">
        <f>設定!$B$7</f>
        <v>小学校</v>
      </c>
      <c r="E99" s="23"/>
      <c r="F99" s="23"/>
      <c r="G99" s="23"/>
      <c r="H99" s="23"/>
      <c r="I99" s="22" t="str">
        <f t="shared" si="4"/>
        <v>未入力</v>
      </c>
      <c r="J99" s="22" t="str">
        <f t="shared" si="5"/>
        <v/>
      </c>
    </row>
    <row r="100" spans="1:10" ht="20.100000000000001" customHeight="1">
      <c r="A100" s="21">
        <v>96</v>
      </c>
      <c r="B100" s="22" t="str">
        <f>設定!$B$5</f>
        <v>大垣市</v>
      </c>
      <c r="C100" s="22" t="str">
        <f>設定!$B$6</f>
        <v>大垣市立静里小学校</v>
      </c>
      <c r="D100" s="22" t="str">
        <f>設定!$B$7</f>
        <v>小学校</v>
      </c>
      <c r="E100" s="23"/>
      <c r="F100" s="23"/>
      <c r="G100" s="23"/>
      <c r="H100" s="23"/>
      <c r="I100" s="22" t="str">
        <f t="shared" si="4"/>
        <v>未入力</v>
      </c>
      <c r="J100" s="22" t="str">
        <f t="shared" si="5"/>
        <v/>
      </c>
    </row>
    <row r="101" spans="1:10" ht="20.100000000000001" customHeight="1">
      <c r="A101" s="21">
        <v>97</v>
      </c>
      <c r="B101" s="22" t="str">
        <f>設定!$B$5</f>
        <v>大垣市</v>
      </c>
      <c r="C101" s="22" t="str">
        <f>設定!$B$6</f>
        <v>大垣市立静里小学校</v>
      </c>
      <c r="D101" s="22" t="str">
        <f>設定!$B$7</f>
        <v>小学校</v>
      </c>
      <c r="E101" s="23"/>
      <c r="F101" s="23"/>
      <c r="G101" s="23"/>
      <c r="H101" s="23"/>
      <c r="I101" s="22" t="str">
        <f t="shared" si="4"/>
        <v>未入力</v>
      </c>
      <c r="J101" s="22" t="str">
        <f t="shared" ref="J101:J104" si="6">IF(I101="OK",F101&amp;"（"&amp;G101&amp;"）","")</f>
        <v/>
      </c>
    </row>
    <row r="102" spans="1:10" ht="20.100000000000001" customHeight="1">
      <c r="A102" s="21">
        <v>98</v>
      </c>
      <c r="B102" s="22" t="str">
        <f>設定!$B$5</f>
        <v>大垣市</v>
      </c>
      <c r="C102" s="22" t="str">
        <f>設定!$B$6</f>
        <v>大垣市立静里小学校</v>
      </c>
      <c r="D102" s="22" t="str">
        <f>設定!$B$7</f>
        <v>小学校</v>
      </c>
      <c r="E102" s="23"/>
      <c r="F102" s="23"/>
      <c r="G102" s="23"/>
      <c r="H102" s="23"/>
      <c r="I102" s="22" t="str">
        <f t="shared" si="4"/>
        <v>未入力</v>
      </c>
      <c r="J102" s="22" t="str">
        <f t="shared" si="6"/>
        <v/>
      </c>
    </row>
    <row r="103" spans="1:10" ht="20.100000000000001" customHeight="1">
      <c r="A103" s="21">
        <v>99</v>
      </c>
      <c r="B103" s="22" t="str">
        <f>設定!$B$5</f>
        <v>大垣市</v>
      </c>
      <c r="C103" s="22" t="str">
        <f>設定!$B$6</f>
        <v>大垣市立静里小学校</v>
      </c>
      <c r="D103" s="22" t="str">
        <f>設定!$B$7</f>
        <v>小学校</v>
      </c>
      <c r="E103" s="23"/>
      <c r="F103" s="23"/>
      <c r="G103" s="23"/>
      <c r="H103" s="23"/>
      <c r="I103" s="22" t="str">
        <f t="shared" si="4"/>
        <v>未入力</v>
      </c>
      <c r="J103" s="22" t="str">
        <f t="shared" si="6"/>
        <v/>
      </c>
    </row>
    <row r="104" spans="1:10" ht="20.100000000000001" customHeight="1">
      <c r="A104" s="21">
        <v>100</v>
      </c>
      <c r="B104" s="22" t="str">
        <f>設定!$B$5</f>
        <v>大垣市</v>
      </c>
      <c r="C104" s="22" t="str">
        <f>設定!$B$6</f>
        <v>大垣市立静里小学校</v>
      </c>
      <c r="D104" s="22" t="str">
        <f>設定!$B$7</f>
        <v>小学校</v>
      </c>
      <c r="E104" s="23"/>
      <c r="F104" s="23"/>
      <c r="G104" s="23"/>
      <c r="H104" s="23"/>
      <c r="I104" s="22" t="str">
        <f t="shared" si="4"/>
        <v>未入力</v>
      </c>
      <c r="J104" s="22" t="str">
        <f t="shared" si="6"/>
        <v/>
      </c>
    </row>
  </sheetData>
  <mergeCells count="2">
    <mergeCell ref="A1:J1"/>
    <mergeCell ref="A2:J2"/>
  </mergeCells>
  <phoneticPr fontId="13"/>
  <conditionalFormatting sqref="I5:I54">
    <cfRule type="containsText" dxfId="1" priority="1" operator="containsText" text="未入力"/>
    <cfRule type="containsText" dxfId="0" priority="2" operator="containsText" text="OK"/>
  </conditionalFormatting>
  <dataValidations count="2">
    <dataValidation type="list" allowBlank="1" errorTitle="入力エラー" error="小学校または中学校を選択してください。" sqref="D5:D104" xr:uid="{00000000-0002-0000-0100-000000000000}">
      <formula1>"小学校,中学校"</formula1>
    </dataValidation>
    <dataValidation type="list" allowBlank="1" errorTitle="入力エラー" error="学校種別に応じた学年を選択してください。" sqref="E5:E104" xr:uid="{00000000-0002-0000-0100-000001000000}">
      <formula1>IF($D5="小学校",$AA$1:$AA$6,$AB$1:$AB$3)</formula1>
    </dataValidation>
  </dataValidations>
  <pageMargins left="0.7" right="0.7" top="0.75" bottom="0.75" header="0.3" footer="0.3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000"/>
  <sheetViews>
    <sheetView showGridLines="0" topLeftCell="A62" workbookViewId="0">
      <selection activeCell="F4" sqref="F4"/>
    </sheetView>
  </sheetViews>
  <sheetFormatPr defaultRowHeight="14.25"/>
  <cols>
    <col min="1" max="1" width="5.625" customWidth="1"/>
    <col min="2" max="2" width="24.875" customWidth="1"/>
    <col min="3" max="3" width="55" customWidth="1"/>
    <col min="4" max="4" width="5.625" customWidth="1"/>
    <col min="5" max="8" width="59" customWidth="1"/>
  </cols>
  <sheetData>
    <row r="1" spans="1:3" ht="13.5" customHeight="1">
      <c r="A1" s="41"/>
      <c r="B1" s="42"/>
      <c r="C1" s="12"/>
    </row>
    <row r="2" spans="1:3" ht="69.95" customHeight="1">
      <c r="A2" s="11"/>
      <c r="B2" s="17" t="s">
        <v>31</v>
      </c>
      <c r="C2" s="18"/>
    </row>
    <row r="3" spans="1:3" ht="50.1" customHeight="1">
      <c r="A3" s="10"/>
      <c r="B3" s="24" t="s">
        <v>2</v>
      </c>
      <c r="C3" s="25" t="str">
        <f>IF(応募者入力!$F$5="","",応募者入力!$B$5)</f>
        <v>大垣市</v>
      </c>
    </row>
    <row r="4" spans="1:3" ht="50.1" customHeight="1">
      <c r="A4" s="10"/>
      <c r="B4" s="26" t="s">
        <v>32</v>
      </c>
      <c r="C4" s="27" t="str">
        <f>IF(応募者入力!$F$5="","","(大垣消防組合)")</f>
        <v>(大垣消防組合)</v>
      </c>
    </row>
    <row r="5" spans="1:3" ht="50.1" customHeight="1">
      <c r="A5" s="10"/>
      <c r="B5" s="28" t="s">
        <v>3</v>
      </c>
      <c r="C5" s="39" t="str">
        <f>IF(応募者入力!$F$5="","",応募者入力!$C$5)</f>
        <v>大垣市立静里小学校</v>
      </c>
    </row>
    <row r="6" spans="1:3" ht="50.1" customHeight="1">
      <c r="A6" s="10"/>
      <c r="B6" s="26" t="s">
        <v>33</v>
      </c>
      <c r="C6" s="40"/>
    </row>
    <row r="7" spans="1:3" ht="50.1" customHeight="1">
      <c r="A7" s="10"/>
      <c r="B7" s="29" t="s">
        <v>5</v>
      </c>
      <c r="C7" s="30" t="str">
        <f>IF(応募者入力!$F$5="","",IFERROR(MID(応募者入力!$E$5,2,1)&amp;"年生",""))</f>
        <v>2年生</v>
      </c>
    </row>
    <row r="8" spans="1:3" ht="39.950000000000003" customHeight="1">
      <c r="A8" s="10"/>
      <c r="B8" s="28" t="s">
        <v>34</v>
      </c>
      <c r="C8" s="31" t="str">
        <f>IF(応募者入力!$F$5="","",応募者入力!$G$5)</f>
        <v>おおがき　たろう</v>
      </c>
    </row>
    <row r="9" spans="1:3" ht="60" customHeight="1">
      <c r="A9" s="10"/>
      <c r="B9" s="32" t="s">
        <v>6</v>
      </c>
      <c r="C9" s="33" t="str">
        <f>IF(応募者入力!$F$5="","",応募者入力!$F$5)</f>
        <v>大垣　太郎</v>
      </c>
    </row>
    <row r="10" spans="1:3" ht="14.25" customHeight="1">
      <c r="A10" s="10"/>
      <c r="B10" s="13"/>
      <c r="C10" s="13"/>
    </row>
    <row r="11" spans="1:3" ht="13.5" customHeight="1">
      <c r="A11" s="41"/>
      <c r="B11" s="42"/>
      <c r="C11" s="12"/>
    </row>
    <row r="12" spans="1:3" ht="69.95" customHeight="1" thickBot="1">
      <c r="A12" s="11"/>
      <c r="B12" s="17" t="s">
        <v>31</v>
      </c>
      <c r="C12" s="18"/>
    </row>
    <row r="13" spans="1:3" ht="50.1" customHeight="1">
      <c r="A13" s="10"/>
      <c r="B13" s="24" t="s">
        <v>2</v>
      </c>
      <c r="C13" s="25" t="str">
        <f>IF(応募者入力!$F$6="","",応募者入力!$B$6)</f>
        <v>大垣市</v>
      </c>
    </row>
    <row r="14" spans="1:3" ht="50.1" customHeight="1">
      <c r="A14" s="10"/>
      <c r="B14" s="26" t="s">
        <v>32</v>
      </c>
      <c r="C14" s="27" t="str">
        <f>IF(応募者入力!$F$6="","","(大垣消防組合)")</f>
        <v>(大垣消防組合)</v>
      </c>
    </row>
    <row r="15" spans="1:3" ht="50.1" customHeight="1">
      <c r="A15" s="10"/>
      <c r="B15" s="28" t="s">
        <v>3</v>
      </c>
      <c r="C15" s="39" t="str">
        <f>IF(応募者入力!$F$6="","",応募者入力!$C$6)</f>
        <v>大垣市立静里小学校</v>
      </c>
    </row>
    <row r="16" spans="1:3" ht="50.1" customHeight="1">
      <c r="A16" s="10"/>
      <c r="B16" s="26" t="s">
        <v>33</v>
      </c>
      <c r="C16" s="40"/>
    </row>
    <row r="17" spans="1:3" ht="50.1" customHeight="1">
      <c r="A17" s="10"/>
      <c r="B17" s="29" t="s">
        <v>5</v>
      </c>
      <c r="C17" s="30" t="str">
        <f>IF(応募者入力!$F$6="","",IFERROR(MID(応募者入力!$E$6,2,1)&amp;"年生",""))</f>
        <v>2年生</v>
      </c>
    </row>
    <row r="18" spans="1:3" ht="39.950000000000003" customHeight="1">
      <c r="A18" s="10"/>
      <c r="B18" s="28" t="s">
        <v>34</v>
      </c>
      <c r="C18" s="31" t="str">
        <f>IF(応募者入力!$F$6="","",応募者入力!$G$6)</f>
        <v>おおがき　はなこ</v>
      </c>
    </row>
    <row r="19" spans="1:3" ht="60" customHeight="1" thickBot="1">
      <c r="A19" s="10"/>
      <c r="B19" s="32" t="s">
        <v>6</v>
      </c>
      <c r="C19" s="33" t="str">
        <f>IF(応募者入力!$F$6="","",応募者入力!$F$6)</f>
        <v>大垣　花子</v>
      </c>
    </row>
    <row r="20" spans="1:3" ht="14.25" customHeight="1">
      <c r="A20" s="10"/>
      <c r="B20" s="13"/>
      <c r="C20" s="13"/>
    </row>
    <row r="21" spans="1:3" ht="13.5" customHeight="1">
      <c r="A21" s="41"/>
      <c r="B21" s="44"/>
      <c r="C21" s="12"/>
    </row>
    <row r="22" spans="1:3" ht="69.95" customHeight="1" thickBot="1">
      <c r="A22" s="11"/>
      <c r="B22" s="36" t="s">
        <v>31</v>
      </c>
      <c r="C22" s="18"/>
    </row>
    <row r="23" spans="1:3" ht="50.1" customHeight="1">
      <c r="A23" s="10"/>
      <c r="B23" s="24" t="s">
        <v>2</v>
      </c>
      <c r="C23" s="25" t="str">
        <f>IF(応募者入力!$F$7="","",応募者入力!$B$7)</f>
        <v>大垣市</v>
      </c>
    </row>
    <row r="24" spans="1:3" ht="50.1" customHeight="1">
      <c r="A24" s="10"/>
      <c r="B24" s="26" t="s">
        <v>32</v>
      </c>
      <c r="C24" s="27" t="str">
        <f>IF(応募者入力!$F$7="","","(大垣消防組合)")</f>
        <v>(大垣消防組合)</v>
      </c>
    </row>
    <row r="25" spans="1:3" ht="50.1" customHeight="1">
      <c r="A25" s="10"/>
      <c r="B25" s="28" t="s">
        <v>3</v>
      </c>
      <c r="C25" s="39" t="str">
        <f>IF(応募者入力!$F$7="","",応募者入力!$C$7)</f>
        <v>大垣市立静里小学校</v>
      </c>
    </row>
    <row r="26" spans="1:3" ht="50.1" customHeight="1">
      <c r="A26" s="10"/>
      <c r="B26" s="26" t="s">
        <v>33</v>
      </c>
      <c r="C26" s="40"/>
    </row>
    <row r="27" spans="1:3" ht="50.1" customHeight="1">
      <c r="A27" s="10"/>
      <c r="B27" s="29" t="s">
        <v>5</v>
      </c>
      <c r="C27" s="30" t="str">
        <f>IF(応募者入力!$F$7="","",IFERROR(MID(応募者入力!$E$7,2,1)&amp;"年生",""))</f>
        <v>3年生</v>
      </c>
    </row>
    <row r="28" spans="1:3" ht="39.950000000000003" customHeight="1">
      <c r="A28" s="10"/>
      <c r="B28" s="28" t="s">
        <v>34</v>
      </c>
      <c r="C28" s="31" t="str">
        <f>IF(応募者入力!$F$7="","",応募者入力!$G$7)</f>
        <v>たなか　けいこ</v>
      </c>
    </row>
    <row r="29" spans="1:3" ht="60" customHeight="1" thickBot="1">
      <c r="A29" s="10"/>
      <c r="B29" s="32" t="s">
        <v>6</v>
      </c>
      <c r="C29" s="33" t="str">
        <f>IF(応募者入力!$F$7="","",応募者入力!$F$7)</f>
        <v>田中　恵子</v>
      </c>
    </row>
    <row r="30" spans="1:3" ht="14.25" customHeight="1">
      <c r="A30" s="10"/>
      <c r="B30" s="13"/>
      <c r="C30" s="13"/>
    </row>
    <row r="31" spans="1:3" ht="13.5" customHeight="1">
      <c r="A31" s="41"/>
      <c r="B31" s="42"/>
      <c r="C31" s="12"/>
    </row>
    <row r="32" spans="1:3" ht="69.95" customHeight="1" thickBot="1">
      <c r="A32" s="11"/>
      <c r="B32" s="17" t="s">
        <v>31</v>
      </c>
      <c r="C32" s="18"/>
    </row>
    <row r="33" spans="1:3" ht="50.1" customHeight="1">
      <c r="A33" s="10"/>
      <c r="B33" s="24" t="s">
        <v>2</v>
      </c>
      <c r="C33" s="25" t="str">
        <f>IF(応募者入力!$F$8="","",応募者入力!$B$8)</f>
        <v>大垣市</v>
      </c>
    </row>
    <row r="34" spans="1:3" ht="50.1" customHeight="1">
      <c r="A34" s="10"/>
      <c r="B34" s="26" t="s">
        <v>32</v>
      </c>
      <c r="C34" s="27" t="str">
        <f>IF(応募者入力!$F$8="","","(大垣消防組合)")</f>
        <v>(大垣消防組合)</v>
      </c>
    </row>
    <row r="35" spans="1:3" ht="50.1" customHeight="1">
      <c r="A35" s="10"/>
      <c r="B35" s="28" t="s">
        <v>3</v>
      </c>
      <c r="C35" s="39" t="str">
        <f>IF(応募者入力!$F$8="","",応募者入力!$C$8)</f>
        <v>大垣市立静里小学校</v>
      </c>
    </row>
    <row r="36" spans="1:3" ht="50.1" customHeight="1">
      <c r="A36" s="10"/>
      <c r="B36" s="26" t="s">
        <v>33</v>
      </c>
      <c r="C36" s="40"/>
    </row>
    <row r="37" spans="1:3" ht="50.1" customHeight="1">
      <c r="A37" s="10"/>
      <c r="B37" s="29" t="s">
        <v>5</v>
      </c>
      <c r="C37" s="30" t="str">
        <f>IF(応募者入力!$F$8="","",IFERROR(MID(応募者入力!$E$8,2,1)&amp;"年生",""))</f>
        <v>5年生</v>
      </c>
    </row>
    <row r="38" spans="1:3" ht="39.950000000000003" customHeight="1">
      <c r="A38" s="10"/>
      <c r="B38" s="28" t="s">
        <v>34</v>
      </c>
      <c r="C38" s="31" t="str">
        <f>IF(応募者入力!$F$8="","",応募者入力!$G$8)</f>
        <v>きとう　なにがし</v>
      </c>
    </row>
    <row r="39" spans="1:3" ht="60" customHeight="1" thickBot="1">
      <c r="A39" s="10"/>
      <c r="B39" s="32" t="s">
        <v>6</v>
      </c>
      <c r="C39" s="33" t="str">
        <f>IF(応募者入力!$F$8="","",応募者入力!$F$8)</f>
        <v>祈祷　なにがし</v>
      </c>
    </row>
    <row r="40" spans="1:3" ht="14.25" customHeight="1">
      <c r="A40" s="10"/>
      <c r="B40" s="13"/>
      <c r="C40" s="13"/>
    </row>
    <row r="41" spans="1:3" ht="13.5" customHeight="1">
      <c r="A41" s="41"/>
      <c r="B41" s="44"/>
      <c r="C41" s="12"/>
    </row>
    <row r="42" spans="1:3" ht="69.95" customHeight="1" thickBot="1">
      <c r="A42" s="11"/>
      <c r="B42" s="36" t="s">
        <v>31</v>
      </c>
      <c r="C42" s="18"/>
    </row>
    <row r="43" spans="1:3" ht="50.1" customHeight="1">
      <c r="A43" s="10"/>
      <c r="B43" s="24" t="s">
        <v>2</v>
      </c>
      <c r="C43" s="25" t="str">
        <f>IF(応募者入力!$F$9="","",応募者入力!$B$9)</f>
        <v>大垣市</v>
      </c>
    </row>
    <row r="44" spans="1:3" ht="50.1" customHeight="1">
      <c r="A44" s="10"/>
      <c r="B44" s="26" t="s">
        <v>32</v>
      </c>
      <c r="C44" s="27" t="str">
        <f>IF(応募者入力!$F$9="","","(大垣消防組合)")</f>
        <v>(大垣消防組合)</v>
      </c>
    </row>
    <row r="45" spans="1:3" ht="50.1" customHeight="1">
      <c r="A45" s="10"/>
      <c r="B45" s="28" t="s">
        <v>3</v>
      </c>
      <c r="C45" s="39" t="str">
        <f>IF(応募者入力!$F$9="","",応募者入力!$C$9)</f>
        <v>大垣市立静里小学校</v>
      </c>
    </row>
    <row r="46" spans="1:3" ht="50.1" customHeight="1">
      <c r="A46" s="10"/>
      <c r="B46" s="26" t="s">
        <v>33</v>
      </c>
      <c r="C46" s="40"/>
    </row>
    <row r="47" spans="1:3" ht="50.1" customHeight="1">
      <c r="A47" s="10"/>
      <c r="B47" s="29" t="s">
        <v>5</v>
      </c>
      <c r="C47" s="30" t="str">
        <f>IF(応募者入力!$F$9="","",IFERROR(MID(応募者入力!$E$9,2,1)&amp;"年生",""))</f>
        <v>6年生</v>
      </c>
    </row>
    <row r="48" spans="1:3" ht="39.950000000000003" customHeight="1">
      <c r="A48" s="10"/>
      <c r="B48" s="28" t="s">
        <v>34</v>
      </c>
      <c r="C48" s="31" t="str">
        <f>IF(応募者入力!$F$9="","",応募者入力!$G$9)</f>
        <v>みやがわ　つよし</v>
      </c>
    </row>
    <row r="49" spans="1:3" ht="60" customHeight="1" thickBot="1">
      <c r="A49" s="10"/>
      <c r="B49" s="32" t="s">
        <v>6</v>
      </c>
      <c r="C49" s="33" t="str">
        <f>IF(応募者入力!$F$9="","",応募者入力!$F$9)</f>
        <v>宮川　つよし</v>
      </c>
    </row>
    <row r="50" spans="1:3" ht="14.25" customHeight="1">
      <c r="A50" s="10"/>
      <c r="B50" s="13"/>
      <c r="C50" s="13"/>
    </row>
    <row r="51" spans="1:3" ht="13.5" customHeight="1">
      <c r="A51" s="41"/>
      <c r="B51" s="42"/>
      <c r="C51" s="12"/>
    </row>
    <row r="52" spans="1:3" ht="69.95" customHeight="1" thickBot="1">
      <c r="A52" s="11"/>
      <c r="B52" s="17" t="s">
        <v>31</v>
      </c>
      <c r="C52" s="18"/>
    </row>
    <row r="53" spans="1:3" ht="50.1" customHeight="1">
      <c r="A53" s="10"/>
      <c r="B53" s="24" t="s">
        <v>2</v>
      </c>
      <c r="C53" s="25" t="str">
        <f>IF(応募者入力!$F$10="","",応募者入力!$B$10)</f>
        <v>大垣市</v>
      </c>
    </row>
    <row r="54" spans="1:3" ht="50.1" customHeight="1">
      <c r="A54" s="10"/>
      <c r="B54" s="26" t="s">
        <v>32</v>
      </c>
      <c r="C54" s="27" t="str">
        <f>IF(応募者入力!$F$10="","","(大垣消防組合)")</f>
        <v>(大垣消防組合)</v>
      </c>
    </row>
    <row r="55" spans="1:3" ht="50.1" customHeight="1">
      <c r="A55" s="10"/>
      <c r="B55" s="28" t="s">
        <v>3</v>
      </c>
      <c r="C55" s="39" t="str">
        <f>IF(応募者入力!$F$10="","",応募者入力!$C$10)</f>
        <v>大垣市立静里小学校</v>
      </c>
    </row>
    <row r="56" spans="1:3" ht="50.1" customHeight="1">
      <c r="A56" s="10"/>
      <c r="B56" s="26" t="s">
        <v>33</v>
      </c>
      <c r="C56" s="40"/>
    </row>
    <row r="57" spans="1:3" ht="50.1" customHeight="1">
      <c r="A57" s="10"/>
      <c r="B57" s="29" t="s">
        <v>5</v>
      </c>
      <c r="C57" s="30" t="str">
        <f>IF(応募者入力!$F$10="","",IFERROR(MID(応募者入力!$E$10,2,1)&amp;"年生",""))</f>
        <v>6年生</v>
      </c>
    </row>
    <row r="58" spans="1:3" ht="39.950000000000003" customHeight="1">
      <c r="A58" s="10"/>
      <c r="B58" s="28" t="s">
        <v>34</v>
      </c>
      <c r="C58" s="31" t="str">
        <f>IF(応募者入力!$F$10="","",応募者入力!$G$10)</f>
        <v>てすと　たろう</v>
      </c>
    </row>
    <row r="59" spans="1:3" ht="60" customHeight="1" thickBot="1">
      <c r="A59" s="10"/>
      <c r="B59" s="32" t="s">
        <v>6</v>
      </c>
      <c r="C59" s="33" t="str">
        <f>IF(応募者入力!$F$10="","",応募者入力!$F$10)</f>
        <v>テスト　太郎</v>
      </c>
    </row>
    <row r="60" spans="1:3" ht="14.25" customHeight="1">
      <c r="A60" s="10"/>
      <c r="B60" s="13"/>
      <c r="C60" s="13"/>
    </row>
    <row r="61" spans="1:3" ht="13.5" customHeight="1">
      <c r="A61" s="41"/>
      <c r="B61" s="42"/>
      <c r="C61" s="12"/>
    </row>
    <row r="62" spans="1:3" ht="69.95" customHeight="1" thickBot="1">
      <c r="A62" s="11"/>
      <c r="B62" s="17" t="s">
        <v>31</v>
      </c>
      <c r="C62" s="18"/>
    </row>
    <row r="63" spans="1:3" ht="50.1" customHeight="1">
      <c r="A63" s="10"/>
      <c r="B63" s="24" t="s">
        <v>2</v>
      </c>
      <c r="C63" s="25" t="str">
        <f>IF(応募者入力!$F$11="","",応募者入力!$B$11)</f>
        <v>大垣市</v>
      </c>
    </row>
    <row r="64" spans="1:3" ht="50.1" customHeight="1">
      <c r="A64" s="10"/>
      <c r="B64" s="26" t="s">
        <v>32</v>
      </c>
      <c r="C64" s="27" t="str">
        <f>IF(応募者入力!$F$11="","","(大垣消防組合)")</f>
        <v>(大垣消防組合)</v>
      </c>
    </row>
    <row r="65" spans="1:3" ht="50.1" customHeight="1">
      <c r="A65" s="10"/>
      <c r="B65" s="28" t="s">
        <v>3</v>
      </c>
      <c r="C65" s="39" t="str">
        <f>IF(応募者入力!$F$11="","",応募者入力!$C$11)</f>
        <v>大垣市立静里小学校</v>
      </c>
    </row>
    <row r="66" spans="1:3" ht="50.1" customHeight="1">
      <c r="A66" s="10"/>
      <c r="B66" s="26" t="s">
        <v>33</v>
      </c>
      <c r="C66" s="40"/>
    </row>
    <row r="67" spans="1:3" ht="50.1" customHeight="1">
      <c r="A67" s="10"/>
      <c r="B67" s="29" t="s">
        <v>5</v>
      </c>
      <c r="C67" s="30" t="str">
        <f>IF(応募者入力!$F$11="","",IFERROR(MID(応募者入力!$E$11,2,1)&amp;"年生",""))</f>
        <v>1年生</v>
      </c>
    </row>
    <row r="68" spans="1:3" ht="39.950000000000003" customHeight="1">
      <c r="A68" s="10"/>
      <c r="B68" s="28" t="s">
        <v>34</v>
      </c>
      <c r="C68" s="31" t="str">
        <f>IF(応募者入力!$F$11="","",応募者入力!$G$11)</f>
        <v>おおしま　もとこ</v>
      </c>
    </row>
    <row r="69" spans="1:3" ht="60" customHeight="1" thickBot="1">
      <c r="A69" s="10"/>
      <c r="B69" s="32" t="s">
        <v>6</v>
      </c>
      <c r="C69" s="33" t="str">
        <f>IF(応募者入力!$F$11="","",応募者入力!$F$11)</f>
        <v>大島もとこ</v>
      </c>
    </row>
    <row r="70" spans="1:3" ht="14.25" customHeight="1">
      <c r="A70" s="10"/>
      <c r="B70" s="13"/>
      <c r="C70" s="13"/>
    </row>
    <row r="71" spans="1:3" ht="13.5" customHeight="1">
      <c r="A71" s="41"/>
      <c r="B71" s="42"/>
      <c r="C71" s="12"/>
    </row>
    <row r="72" spans="1:3" ht="69.95" customHeight="1" thickBot="1">
      <c r="A72" s="11"/>
      <c r="B72" s="17" t="s">
        <v>31</v>
      </c>
      <c r="C72" s="18"/>
    </row>
    <row r="73" spans="1:3" ht="50.1" customHeight="1">
      <c r="A73" s="10"/>
      <c r="B73" s="24" t="s">
        <v>2</v>
      </c>
      <c r="C73" s="25" t="str">
        <f>IF(応募者入力!$F$12="","",応募者入力!$B$12)</f>
        <v/>
      </c>
    </row>
    <row r="74" spans="1:3" ht="50.1" customHeight="1">
      <c r="A74" s="10"/>
      <c r="B74" s="26" t="s">
        <v>32</v>
      </c>
      <c r="C74" s="27" t="str">
        <f>IF(応募者入力!$F$12="","","(大垣消防組合)")</f>
        <v/>
      </c>
    </row>
    <row r="75" spans="1:3" ht="50.1" customHeight="1">
      <c r="A75" s="10"/>
      <c r="B75" s="28" t="s">
        <v>3</v>
      </c>
      <c r="C75" s="39" t="str">
        <f>IF(応募者入力!$F$12="","",応募者入力!$C$12)</f>
        <v/>
      </c>
    </row>
    <row r="76" spans="1:3" ht="50.1" customHeight="1">
      <c r="A76" s="10"/>
      <c r="B76" s="26" t="s">
        <v>33</v>
      </c>
      <c r="C76" s="40"/>
    </row>
    <row r="77" spans="1:3" ht="50.1" customHeight="1">
      <c r="A77" s="10"/>
      <c r="B77" s="29" t="s">
        <v>5</v>
      </c>
      <c r="C77" s="30" t="str">
        <f>IF(応募者入力!$F$12="","",IFERROR(MID(応募者入力!$E$12,2,1)&amp;"年生",""))</f>
        <v/>
      </c>
    </row>
    <row r="78" spans="1:3" ht="39.950000000000003" customHeight="1">
      <c r="A78" s="10"/>
      <c r="B78" s="28" t="s">
        <v>34</v>
      </c>
      <c r="C78" s="31" t="str">
        <f>IF(応募者入力!$F$12="","",応募者入力!$G$12)</f>
        <v/>
      </c>
    </row>
    <row r="79" spans="1:3" ht="60" customHeight="1" thickBot="1">
      <c r="A79" s="10"/>
      <c r="B79" s="32" t="s">
        <v>6</v>
      </c>
      <c r="C79" s="33" t="str">
        <f>IF(応募者入力!$F$12="","",応募者入力!$F$12)</f>
        <v/>
      </c>
    </row>
    <row r="80" spans="1:3" ht="14.25" customHeight="1">
      <c r="A80" s="10"/>
      <c r="B80" s="13"/>
      <c r="C80" s="13"/>
    </row>
    <row r="81" spans="1:3" ht="13.5" customHeight="1">
      <c r="A81" s="41"/>
      <c r="B81" s="44"/>
      <c r="C81" s="12"/>
    </row>
    <row r="82" spans="1:3" ht="69.95" customHeight="1" thickBot="1">
      <c r="A82" s="11"/>
      <c r="B82" s="36" t="s">
        <v>31</v>
      </c>
      <c r="C82" s="18"/>
    </row>
    <row r="83" spans="1:3" ht="50.1" customHeight="1">
      <c r="A83" s="10"/>
      <c r="B83" s="24" t="s">
        <v>2</v>
      </c>
      <c r="C83" s="25" t="str">
        <f>IF(応募者入力!$F$13="","",応募者入力!$B$13)</f>
        <v/>
      </c>
    </row>
    <row r="84" spans="1:3" ht="50.1" customHeight="1">
      <c r="A84" s="10"/>
      <c r="B84" s="26" t="s">
        <v>32</v>
      </c>
      <c r="C84" s="27" t="str">
        <f>IF(応募者入力!$F$13="","","(大垣消防組合)")</f>
        <v/>
      </c>
    </row>
    <row r="85" spans="1:3" ht="50.1" customHeight="1">
      <c r="A85" s="10"/>
      <c r="B85" s="28" t="s">
        <v>3</v>
      </c>
      <c r="C85" s="39" t="str">
        <f>IF(応募者入力!$F$13="","",応募者入力!$C$13)</f>
        <v/>
      </c>
    </row>
    <row r="86" spans="1:3" ht="50.1" customHeight="1">
      <c r="A86" s="10"/>
      <c r="B86" s="26" t="s">
        <v>33</v>
      </c>
      <c r="C86" s="40"/>
    </row>
    <row r="87" spans="1:3" ht="50.1" customHeight="1">
      <c r="A87" s="10"/>
      <c r="B87" s="29" t="s">
        <v>5</v>
      </c>
      <c r="C87" s="30" t="str">
        <f>IF(応募者入力!$F$13="","",IFERROR(MID(応募者入力!$E$13,2,1)&amp;"年生",""))</f>
        <v/>
      </c>
    </row>
    <row r="88" spans="1:3" ht="39.950000000000003" customHeight="1">
      <c r="A88" s="10"/>
      <c r="B88" s="28" t="s">
        <v>34</v>
      </c>
      <c r="C88" s="31" t="str">
        <f>IF(応募者入力!$F$13="","",応募者入力!$G$13)</f>
        <v/>
      </c>
    </row>
    <row r="89" spans="1:3" ht="60" customHeight="1" thickBot="1">
      <c r="A89" s="10"/>
      <c r="B89" s="32" t="s">
        <v>6</v>
      </c>
      <c r="C89" s="33" t="str">
        <f>IF(応募者入力!$F$13="","",応募者入力!$F$13)</f>
        <v/>
      </c>
    </row>
    <row r="90" spans="1:3" ht="14.25" customHeight="1">
      <c r="A90" s="10"/>
      <c r="B90" s="13"/>
      <c r="C90" s="13"/>
    </row>
    <row r="91" spans="1:3" ht="13.5" customHeight="1">
      <c r="A91" s="41"/>
      <c r="B91" s="44"/>
      <c r="C91" s="12"/>
    </row>
    <row r="92" spans="1:3" ht="69.95" customHeight="1" thickBot="1">
      <c r="A92" s="11"/>
      <c r="B92" s="36" t="s">
        <v>31</v>
      </c>
      <c r="C92" s="18"/>
    </row>
    <row r="93" spans="1:3" ht="50.1" customHeight="1">
      <c r="A93" s="10"/>
      <c r="B93" s="24" t="s">
        <v>2</v>
      </c>
      <c r="C93" s="25" t="str">
        <f>IF(応募者入力!$F$14="","",応募者入力!$B$14)</f>
        <v/>
      </c>
    </row>
    <row r="94" spans="1:3" ht="50.1" customHeight="1">
      <c r="A94" s="10"/>
      <c r="B94" s="26" t="s">
        <v>32</v>
      </c>
      <c r="C94" s="27" t="str">
        <f>IF(応募者入力!$F$14="","","(大垣消防組合)")</f>
        <v/>
      </c>
    </row>
    <row r="95" spans="1:3" ht="50.1" customHeight="1">
      <c r="A95" s="10"/>
      <c r="B95" s="28" t="s">
        <v>3</v>
      </c>
      <c r="C95" s="39" t="str">
        <f>IF(応募者入力!$F$14="","",応募者入力!$C$14)</f>
        <v/>
      </c>
    </row>
    <row r="96" spans="1:3" ht="50.1" customHeight="1">
      <c r="A96" s="10"/>
      <c r="B96" s="26" t="s">
        <v>33</v>
      </c>
      <c r="C96" s="40"/>
    </row>
    <row r="97" spans="1:3" ht="50.1" customHeight="1">
      <c r="A97" s="10"/>
      <c r="B97" s="29" t="s">
        <v>5</v>
      </c>
      <c r="C97" s="30" t="str">
        <f>IF(応募者入力!$F$14="","",IFERROR(MID(応募者入力!$E$14,2,1)&amp;"年生",""))</f>
        <v/>
      </c>
    </row>
    <row r="98" spans="1:3" ht="39.950000000000003" customHeight="1">
      <c r="A98" s="10"/>
      <c r="B98" s="28" t="s">
        <v>34</v>
      </c>
      <c r="C98" s="31" t="str">
        <f>IF(応募者入力!$F$14="","",応募者入力!$G$14)</f>
        <v/>
      </c>
    </row>
    <row r="99" spans="1:3" ht="60" customHeight="1" thickBot="1">
      <c r="A99" s="10"/>
      <c r="B99" s="32" t="s">
        <v>6</v>
      </c>
      <c r="C99" s="33" t="str">
        <f>IF(応募者入力!$F$14="","",応募者入力!$F$14)</f>
        <v/>
      </c>
    </row>
    <row r="100" spans="1:3" ht="14.25" customHeight="1">
      <c r="A100" s="10"/>
      <c r="B100" s="13"/>
      <c r="C100" s="13"/>
    </row>
    <row r="101" spans="1:3" ht="13.5" customHeight="1">
      <c r="A101" s="43"/>
      <c r="B101" s="42"/>
      <c r="C101" s="12"/>
    </row>
    <row r="102" spans="1:3" ht="69.95" customHeight="1" thickBot="1">
      <c r="A102" s="11"/>
      <c r="B102" s="17" t="s">
        <v>31</v>
      </c>
      <c r="C102" s="18"/>
    </row>
    <row r="103" spans="1:3" ht="50.1" customHeight="1">
      <c r="A103" s="10"/>
      <c r="B103" s="24" t="s">
        <v>2</v>
      </c>
      <c r="C103" s="25" t="str">
        <f>IF(応募者入力!$F$15="","",応募者入力!$B$15)</f>
        <v/>
      </c>
    </row>
    <row r="104" spans="1:3" ht="50.1" customHeight="1">
      <c r="A104" s="10"/>
      <c r="B104" s="26" t="s">
        <v>32</v>
      </c>
      <c r="C104" s="27" t="str">
        <f>IF(応募者入力!$F$15="","","(大垣消防組合)")</f>
        <v/>
      </c>
    </row>
    <row r="105" spans="1:3" ht="50.1" customHeight="1">
      <c r="A105" s="10"/>
      <c r="B105" s="28" t="s">
        <v>3</v>
      </c>
      <c r="C105" s="39" t="str">
        <f>IF(応募者入力!$F$15="","",応募者入力!$C$15)</f>
        <v/>
      </c>
    </row>
    <row r="106" spans="1:3" ht="50.1" customHeight="1">
      <c r="A106" s="10"/>
      <c r="B106" s="26" t="s">
        <v>33</v>
      </c>
      <c r="C106" s="40"/>
    </row>
    <row r="107" spans="1:3" ht="50.1" customHeight="1">
      <c r="A107" s="10"/>
      <c r="B107" s="29" t="s">
        <v>5</v>
      </c>
      <c r="C107" s="30" t="str">
        <f>IF(応募者入力!$F$15="","",IFERROR(MID(応募者入力!$E$15,2,1)&amp;"年生",""))</f>
        <v/>
      </c>
    </row>
    <row r="108" spans="1:3" ht="39.950000000000003" customHeight="1">
      <c r="A108" s="10"/>
      <c r="B108" s="28" t="s">
        <v>34</v>
      </c>
      <c r="C108" s="31" t="str">
        <f>IF(応募者入力!$F$15="","",応募者入力!$G$15)</f>
        <v/>
      </c>
    </row>
    <row r="109" spans="1:3" ht="60" customHeight="1" thickBot="1">
      <c r="A109" s="10"/>
      <c r="B109" s="32" t="s">
        <v>6</v>
      </c>
      <c r="C109" s="33" t="str">
        <f>IF(応募者入力!$F$15="","",応募者入力!$F$15)</f>
        <v/>
      </c>
    </row>
    <row r="110" spans="1:3" ht="14.25" customHeight="1">
      <c r="A110" s="10"/>
      <c r="B110" s="13"/>
      <c r="C110" s="13"/>
    </row>
    <row r="111" spans="1:3" ht="13.5" customHeight="1">
      <c r="A111" s="43"/>
      <c r="B111" s="42"/>
      <c r="C111" s="12"/>
    </row>
    <row r="112" spans="1:3" ht="69.95" customHeight="1" thickBot="1">
      <c r="A112" s="11"/>
      <c r="B112" s="17" t="s">
        <v>31</v>
      </c>
      <c r="C112" s="18"/>
    </row>
    <row r="113" spans="1:3" ht="50.1" customHeight="1">
      <c r="A113" s="10"/>
      <c r="B113" s="24" t="s">
        <v>2</v>
      </c>
      <c r="C113" s="25" t="str">
        <f>IF(応募者入力!$F$16="","",応募者入力!$B$16)</f>
        <v/>
      </c>
    </row>
    <row r="114" spans="1:3" ht="50.1" customHeight="1">
      <c r="A114" s="10"/>
      <c r="B114" s="26" t="s">
        <v>32</v>
      </c>
      <c r="C114" s="27" t="str">
        <f>IF(応募者入力!$F$16="","","(大垣消防組合)")</f>
        <v/>
      </c>
    </row>
    <row r="115" spans="1:3" ht="50.1" customHeight="1">
      <c r="A115" s="10"/>
      <c r="B115" s="28" t="s">
        <v>3</v>
      </c>
      <c r="C115" s="39" t="str">
        <f>IF(応募者入力!$F$16="","",応募者入力!$C$16)</f>
        <v/>
      </c>
    </row>
    <row r="116" spans="1:3" ht="50.1" customHeight="1">
      <c r="A116" s="10"/>
      <c r="B116" s="26" t="s">
        <v>33</v>
      </c>
      <c r="C116" s="40"/>
    </row>
    <row r="117" spans="1:3" ht="50.1" customHeight="1">
      <c r="A117" s="10"/>
      <c r="B117" s="29" t="s">
        <v>5</v>
      </c>
      <c r="C117" s="30" t="str">
        <f>IF(応募者入力!$F$16="","",IFERROR(MID(応募者入力!$E$16,2,1)&amp;"年生",""))</f>
        <v/>
      </c>
    </row>
    <row r="118" spans="1:3" ht="39.950000000000003" customHeight="1">
      <c r="A118" s="10"/>
      <c r="B118" s="28" t="s">
        <v>34</v>
      </c>
      <c r="C118" s="31" t="str">
        <f>IF(応募者入力!$F$16="","",応募者入力!$G$16)</f>
        <v/>
      </c>
    </row>
    <row r="119" spans="1:3" ht="60" customHeight="1" thickBot="1">
      <c r="A119" s="10"/>
      <c r="B119" s="32" t="s">
        <v>6</v>
      </c>
      <c r="C119" s="33" t="str">
        <f>IF(応募者入力!$F$16="","",応募者入力!$F$16)</f>
        <v/>
      </c>
    </row>
    <row r="120" spans="1:3" ht="14.25" customHeight="1">
      <c r="A120" s="10"/>
      <c r="B120" s="13"/>
      <c r="C120" s="13"/>
    </row>
    <row r="121" spans="1:3" ht="13.5" customHeight="1">
      <c r="A121" s="43"/>
      <c r="B121" s="42"/>
      <c r="C121" s="12"/>
    </row>
    <row r="122" spans="1:3" ht="69.95" customHeight="1" thickBot="1">
      <c r="A122" s="11"/>
      <c r="B122" s="17" t="s">
        <v>31</v>
      </c>
      <c r="C122" s="18"/>
    </row>
    <row r="123" spans="1:3" ht="50.1" customHeight="1">
      <c r="A123" s="10"/>
      <c r="B123" s="24" t="s">
        <v>2</v>
      </c>
      <c r="C123" s="25" t="str">
        <f>IF(応募者入力!$F$17="","",応募者入力!$B$17)</f>
        <v/>
      </c>
    </row>
    <row r="124" spans="1:3" ht="50.1" customHeight="1">
      <c r="A124" s="10"/>
      <c r="B124" s="26" t="s">
        <v>32</v>
      </c>
      <c r="C124" s="27" t="str">
        <f>IF(応募者入力!$F$17="","","(大垣消防組合)")</f>
        <v/>
      </c>
    </row>
    <row r="125" spans="1:3" ht="50.1" customHeight="1">
      <c r="A125" s="10"/>
      <c r="B125" s="28" t="s">
        <v>3</v>
      </c>
      <c r="C125" s="39" t="str">
        <f>IF(応募者入力!$F$17="","",応募者入力!$C$17)</f>
        <v/>
      </c>
    </row>
    <row r="126" spans="1:3" ht="50.1" customHeight="1">
      <c r="A126" s="10"/>
      <c r="B126" s="26" t="s">
        <v>33</v>
      </c>
      <c r="C126" s="40"/>
    </row>
    <row r="127" spans="1:3" ht="50.1" customHeight="1">
      <c r="A127" s="10"/>
      <c r="B127" s="29" t="s">
        <v>5</v>
      </c>
      <c r="C127" s="30" t="str">
        <f>IF(応募者入力!$F$17="","",IFERROR(MID(応募者入力!$E$17,2,1)&amp;"年生",""))</f>
        <v/>
      </c>
    </row>
    <row r="128" spans="1:3" ht="39.950000000000003" customHeight="1">
      <c r="A128" s="10"/>
      <c r="B128" s="28" t="s">
        <v>34</v>
      </c>
      <c r="C128" s="31" t="str">
        <f>IF(応募者入力!$F$17="","",応募者入力!$G$17)</f>
        <v/>
      </c>
    </row>
    <row r="129" spans="1:3" ht="60" customHeight="1" thickBot="1">
      <c r="A129" s="10"/>
      <c r="B129" s="32" t="s">
        <v>6</v>
      </c>
      <c r="C129" s="33" t="str">
        <f>IF(応募者入力!$F$17="","",応募者入力!$F$17)</f>
        <v/>
      </c>
    </row>
    <row r="130" spans="1:3" ht="14.25" customHeight="1">
      <c r="A130" s="10"/>
      <c r="B130" s="13"/>
      <c r="C130" s="13"/>
    </row>
    <row r="131" spans="1:3" ht="13.5" customHeight="1">
      <c r="A131" s="43"/>
      <c r="B131" s="42"/>
      <c r="C131" s="12"/>
    </row>
    <row r="132" spans="1:3" ht="69.95" customHeight="1" thickBot="1">
      <c r="A132" s="11"/>
      <c r="B132" s="17" t="s">
        <v>31</v>
      </c>
      <c r="C132" s="18"/>
    </row>
    <row r="133" spans="1:3" ht="50.1" customHeight="1">
      <c r="A133" s="10"/>
      <c r="B133" s="24" t="s">
        <v>2</v>
      </c>
      <c r="C133" s="25" t="str">
        <f>IF(応募者入力!$F$18="","",応募者入力!$B$18)</f>
        <v/>
      </c>
    </row>
    <row r="134" spans="1:3" ht="50.1" customHeight="1">
      <c r="A134" s="10"/>
      <c r="B134" s="26" t="s">
        <v>32</v>
      </c>
      <c r="C134" s="27" t="str">
        <f>IF(応募者入力!$F$18="","","(大垣消防組合)")</f>
        <v/>
      </c>
    </row>
    <row r="135" spans="1:3" ht="50.1" customHeight="1">
      <c r="A135" s="10"/>
      <c r="B135" s="28" t="s">
        <v>3</v>
      </c>
      <c r="C135" s="39" t="str">
        <f>IF(応募者入力!$F$18="","",応募者入力!$C$18)</f>
        <v/>
      </c>
    </row>
    <row r="136" spans="1:3" ht="50.1" customHeight="1">
      <c r="A136" s="10"/>
      <c r="B136" s="26" t="s">
        <v>33</v>
      </c>
      <c r="C136" s="40"/>
    </row>
    <row r="137" spans="1:3" ht="50.1" customHeight="1">
      <c r="A137" s="10"/>
      <c r="B137" s="29" t="s">
        <v>5</v>
      </c>
      <c r="C137" s="30" t="str">
        <f>IF(応募者入力!$F$18="","",IFERROR(MID(応募者入力!$E$18,2,1)&amp;"年生",""))</f>
        <v/>
      </c>
    </row>
    <row r="138" spans="1:3" ht="39.950000000000003" customHeight="1">
      <c r="A138" s="10"/>
      <c r="B138" s="28" t="s">
        <v>34</v>
      </c>
      <c r="C138" s="31" t="str">
        <f>IF(応募者入力!$F$18="","",応募者入力!$G$18)</f>
        <v/>
      </c>
    </row>
    <row r="139" spans="1:3" ht="60" customHeight="1" thickBot="1">
      <c r="A139" s="10"/>
      <c r="B139" s="32" t="s">
        <v>6</v>
      </c>
      <c r="C139" s="33" t="str">
        <f>IF(応募者入力!$F$18="","",応募者入力!$F$18)</f>
        <v/>
      </c>
    </row>
    <row r="140" spans="1:3" ht="14.25" customHeight="1">
      <c r="A140" s="10"/>
      <c r="B140" s="13"/>
      <c r="C140" s="13"/>
    </row>
    <row r="141" spans="1:3" ht="13.5" customHeight="1">
      <c r="A141" s="43"/>
      <c r="B141" s="42"/>
      <c r="C141" s="12"/>
    </row>
    <row r="142" spans="1:3" ht="69.95" customHeight="1" thickBot="1">
      <c r="A142" s="11"/>
      <c r="B142" s="17" t="s">
        <v>31</v>
      </c>
      <c r="C142" s="18"/>
    </row>
    <row r="143" spans="1:3" ht="50.1" customHeight="1">
      <c r="A143" s="10"/>
      <c r="B143" s="24" t="s">
        <v>2</v>
      </c>
      <c r="C143" s="25" t="str">
        <f>IF(応募者入力!$F$19="","",応募者入力!$B$19)</f>
        <v/>
      </c>
    </row>
    <row r="144" spans="1:3" ht="50.1" customHeight="1">
      <c r="A144" s="10"/>
      <c r="B144" s="26" t="s">
        <v>32</v>
      </c>
      <c r="C144" s="27" t="str">
        <f>IF(応募者入力!$F$19="","","(大垣消防組合)")</f>
        <v/>
      </c>
    </row>
    <row r="145" spans="1:3" ht="50.1" customHeight="1">
      <c r="A145" s="10"/>
      <c r="B145" s="28" t="s">
        <v>3</v>
      </c>
      <c r="C145" s="39" t="str">
        <f>IF(応募者入力!$F$19="","",応募者入力!$C$19)</f>
        <v/>
      </c>
    </row>
    <row r="146" spans="1:3" ht="50.1" customHeight="1">
      <c r="A146" s="10"/>
      <c r="B146" s="26" t="s">
        <v>33</v>
      </c>
      <c r="C146" s="40"/>
    </row>
    <row r="147" spans="1:3" ht="50.1" customHeight="1">
      <c r="A147" s="10"/>
      <c r="B147" s="29" t="s">
        <v>5</v>
      </c>
      <c r="C147" s="30" t="str">
        <f>IF(応募者入力!$F$19="","",IFERROR(MID(応募者入力!$E$19,2,1)&amp;"年生",""))</f>
        <v/>
      </c>
    </row>
    <row r="148" spans="1:3" ht="39.950000000000003" customHeight="1">
      <c r="A148" s="10"/>
      <c r="B148" s="28" t="s">
        <v>34</v>
      </c>
      <c r="C148" s="31" t="str">
        <f>IF(応募者入力!$F$19="","",応募者入力!$G$19)</f>
        <v/>
      </c>
    </row>
    <row r="149" spans="1:3" ht="60" customHeight="1" thickBot="1">
      <c r="A149" s="10"/>
      <c r="B149" s="32" t="s">
        <v>6</v>
      </c>
      <c r="C149" s="33" t="str">
        <f>IF(応募者入力!$F$19="","",応募者入力!$F$19)</f>
        <v/>
      </c>
    </row>
    <row r="150" spans="1:3" ht="14.25" customHeight="1">
      <c r="A150" s="10"/>
      <c r="B150" s="13"/>
      <c r="C150" s="13"/>
    </row>
    <row r="151" spans="1:3" ht="13.5" customHeight="1">
      <c r="A151" s="43"/>
      <c r="B151" s="42"/>
      <c r="C151" s="12"/>
    </row>
    <row r="152" spans="1:3" ht="69.95" customHeight="1" thickBot="1">
      <c r="A152" s="11"/>
      <c r="B152" s="17" t="s">
        <v>31</v>
      </c>
      <c r="C152" s="18"/>
    </row>
    <row r="153" spans="1:3" ht="50.1" customHeight="1">
      <c r="A153" s="10"/>
      <c r="B153" s="24" t="s">
        <v>2</v>
      </c>
      <c r="C153" s="25" t="str">
        <f>IF(応募者入力!$F$20="","",応募者入力!$B$20)</f>
        <v/>
      </c>
    </row>
    <row r="154" spans="1:3" ht="50.1" customHeight="1">
      <c r="A154" s="10"/>
      <c r="B154" s="26" t="s">
        <v>32</v>
      </c>
      <c r="C154" s="27" t="str">
        <f>IF(応募者入力!$F$20="","","(大垣消防組合)")</f>
        <v/>
      </c>
    </row>
    <row r="155" spans="1:3" ht="50.1" customHeight="1">
      <c r="A155" s="10"/>
      <c r="B155" s="28" t="s">
        <v>3</v>
      </c>
      <c r="C155" s="39" t="str">
        <f>IF(応募者入力!$F$20="","",応募者入力!$C$20)</f>
        <v/>
      </c>
    </row>
    <row r="156" spans="1:3" ht="50.1" customHeight="1">
      <c r="A156" s="10"/>
      <c r="B156" s="26" t="s">
        <v>33</v>
      </c>
      <c r="C156" s="40"/>
    </row>
    <row r="157" spans="1:3" ht="50.1" customHeight="1">
      <c r="A157" s="10"/>
      <c r="B157" s="29" t="s">
        <v>5</v>
      </c>
      <c r="C157" s="30" t="str">
        <f>IF(応募者入力!$F$20="","",IFERROR(MID(応募者入力!$E$20,2,1)&amp;"年生",""))</f>
        <v/>
      </c>
    </row>
    <row r="158" spans="1:3" ht="39.950000000000003" customHeight="1">
      <c r="A158" s="10"/>
      <c r="B158" s="28" t="s">
        <v>34</v>
      </c>
      <c r="C158" s="31" t="str">
        <f>IF(応募者入力!$F$20="","",応募者入力!$G$20)</f>
        <v/>
      </c>
    </row>
    <row r="159" spans="1:3" ht="60" customHeight="1" thickBot="1">
      <c r="A159" s="10"/>
      <c r="B159" s="32" t="s">
        <v>6</v>
      </c>
      <c r="C159" s="33" t="str">
        <f>IF(応募者入力!$F$20="","",応募者入力!$F$20)</f>
        <v/>
      </c>
    </row>
    <row r="160" spans="1:3" ht="14.25" customHeight="1">
      <c r="A160" s="10"/>
      <c r="B160" s="13"/>
      <c r="C160" s="13"/>
    </row>
    <row r="161" spans="1:3" ht="13.5" customHeight="1">
      <c r="A161" s="43"/>
      <c r="B161" s="42"/>
      <c r="C161" s="12"/>
    </row>
    <row r="162" spans="1:3" ht="69.95" customHeight="1" thickBot="1">
      <c r="A162" s="11"/>
      <c r="B162" s="17" t="s">
        <v>31</v>
      </c>
      <c r="C162" s="18"/>
    </row>
    <row r="163" spans="1:3" ht="50.1" customHeight="1">
      <c r="A163" s="10"/>
      <c r="B163" s="24" t="s">
        <v>2</v>
      </c>
      <c r="C163" s="25" t="str">
        <f>IF(応募者入力!$F$21="","",応募者入力!$B$21)</f>
        <v/>
      </c>
    </row>
    <row r="164" spans="1:3" ht="50.1" customHeight="1">
      <c r="A164" s="10"/>
      <c r="B164" s="26" t="s">
        <v>32</v>
      </c>
      <c r="C164" s="27" t="str">
        <f>IF(応募者入力!$F$21="","","(大垣消防組合)")</f>
        <v/>
      </c>
    </row>
    <row r="165" spans="1:3" ht="50.1" customHeight="1">
      <c r="A165" s="10"/>
      <c r="B165" s="28" t="s">
        <v>3</v>
      </c>
      <c r="C165" s="39" t="str">
        <f>IF(応募者入力!$F$21="","",応募者入力!$C$21)</f>
        <v/>
      </c>
    </row>
    <row r="166" spans="1:3" ht="50.1" customHeight="1">
      <c r="A166" s="10"/>
      <c r="B166" s="26" t="s">
        <v>33</v>
      </c>
      <c r="C166" s="40"/>
    </row>
    <row r="167" spans="1:3" ht="50.1" customHeight="1">
      <c r="A167" s="10"/>
      <c r="B167" s="29" t="s">
        <v>5</v>
      </c>
      <c r="C167" s="30" t="str">
        <f>IF(応募者入力!$F$21="","",IFERROR(MID(応募者入力!$E$21,2,1)&amp;"年生",""))</f>
        <v/>
      </c>
    </row>
    <row r="168" spans="1:3" ht="39.950000000000003" customHeight="1">
      <c r="A168" s="10"/>
      <c r="B168" s="28" t="s">
        <v>34</v>
      </c>
      <c r="C168" s="31" t="str">
        <f>IF(応募者入力!$F$21="","",応募者入力!$G$21)</f>
        <v/>
      </c>
    </row>
    <row r="169" spans="1:3" ht="60" customHeight="1" thickBot="1">
      <c r="A169" s="10"/>
      <c r="B169" s="32" t="s">
        <v>6</v>
      </c>
      <c r="C169" s="33" t="str">
        <f>IF(応募者入力!$F$21="","",応募者入力!$F$21)</f>
        <v/>
      </c>
    </row>
    <row r="170" spans="1:3" ht="14.25" customHeight="1">
      <c r="A170" s="10"/>
      <c r="B170" s="13"/>
      <c r="C170" s="13"/>
    </row>
    <row r="171" spans="1:3" ht="13.5" customHeight="1">
      <c r="A171" s="43"/>
      <c r="B171" s="42"/>
      <c r="C171" s="12"/>
    </row>
    <row r="172" spans="1:3" ht="69.95" customHeight="1" thickBot="1">
      <c r="A172" s="11"/>
      <c r="B172" s="17" t="s">
        <v>31</v>
      </c>
      <c r="C172" s="18"/>
    </row>
    <row r="173" spans="1:3" ht="50.1" customHeight="1">
      <c r="A173" s="10"/>
      <c r="B173" s="24" t="s">
        <v>2</v>
      </c>
      <c r="C173" s="25" t="str">
        <f>IF(応募者入力!$F$22="","",応募者入力!$B$22)</f>
        <v/>
      </c>
    </row>
    <row r="174" spans="1:3" ht="50.1" customHeight="1">
      <c r="A174" s="10"/>
      <c r="B174" s="26" t="s">
        <v>32</v>
      </c>
      <c r="C174" s="27" t="str">
        <f>IF(応募者入力!$F$22="","","(大垣消防組合)")</f>
        <v/>
      </c>
    </row>
    <row r="175" spans="1:3" ht="50.1" customHeight="1">
      <c r="A175" s="10"/>
      <c r="B175" s="28" t="s">
        <v>3</v>
      </c>
      <c r="C175" s="39" t="str">
        <f>IF(応募者入力!$F$22="","",応募者入力!$C$22)</f>
        <v/>
      </c>
    </row>
    <row r="176" spans="1:3" ht="50.1" customHeight="1">
      <c r="A176" s="10"/>
      <c r="B176" s="26" t="s">
        <v>33</v>
      </c>
      <c r="C176" s="40"/>
    </row>
    <row r="177" spans="1:3" ht="50.1" customHeight="1">
      <c r="A177" s="10"/>
      <c r="B177" s="29" t="s">
        <v>5</v>
      </c>
      <c r="C177" s="30" t="str">
        <f>IF(応募者入力!$F$22="","",IFERROR(MID(応募者入力!$E$22,2,1)&amp;"年生",""))</f>
        <v/>
      </c>
    </row>
    <row r="178" spans="1:3" ht="39.950000000000003" customHeight="1">
      <c r="A178" s="10"/>
      <c r="B178" s="28" t="s">
        <v>34</v>
      </c>
      <c r="C178" s="31" t="str">
        <f>IF(応募者入力!$F$22="","",応募者入力!$G$22)</f>
        <v/>
      </c>
    </row>
    <row r="179" spans="1:3" ht="60" customHeight="1" thickBot="1">
      <c r="A179" s="10"/>
      <c r="B179" s="32" t="s">
        <v>6</v>
      </c>
      <c r="C179" s="33" t="str">
        <f>IF(応募者入力!$F$22="","",応募者入力!$F$22)</f>
        <v/>
      </c>
    </row>
    <row r="180" spans="1:3" ht="14.25" customHeight="1">
      <c r="A180" s="10"/>
      <c r="B180" s="13"/>
      <c r="C180" s="13"/>
    </row>
    <row r="181" spans="1:3" ht="13.5" customHeight="1">
      <c r="A181" s="43"/>
      <c r="B181" s="42"/>
      <c r="C181" s="12"/>
    </row>
    <row r="182" spans="1:3" ht="69.95" customHeight="1" thickBot="1">
      <c r="A182" s="11"/>
      <c r="B182" s="17" t="s">
        <v>31</v>
      </c>
      <c r="C182" s="18"/>
    </row>
    <row r="183" spans="1:3" ht="50.1" customHeight="1">
      <c r="A183" s="10"/>
      <c r="B183" s="24" t="s">
        <v>2</v>
      </c>
      <c r="C183" s="25" t="str">
        <f>IF(応募者入力!$F$23="","",応募者入力!$B$23)</f>
        <v/>
      </c>
    </row>
    <row r="184" spans="1:3" ht="50.1" customHeight="1">
      <c r="A184" s="10"/>
      <c r="B184" s="26" t="s">
        <v>32</v>
      </c>
      <c r="C184" s="27" t="str">
        <f>IF(応募者入力!$F$23="","","(大垣消防組合)")</f>
        <v/>
      </c>
    </row>
    <row r="185" spans="1:3" ht="50.1" customHeight="1">
      <c r="A185" s="10"/>
      <c r="B185" s="28" t="s">
        <v>3</v>
      </c>
      <c r="C185" s="39" t="str">
        <f>IF(応募者入力!$F$23="","",応募者入力!$C$23)</f>
        <v/>
      </c>
    </row>
    <row r="186" spans="1:3" ht="50.1" customHeight="1">
      <c r="A186" s="10"/>
      <c r="B186" s="26" t="s">
        <v>33</v>
      </c>
      <c r="C186" s="40"/>
    </row>
    <row r="187" spans="1:3" ht="50.1" customHeight="1">
      <c r="A187" s="10"/>
      <c r="B187" s="29" t="s">
        <v>5</v>
      </c>
      <c r="C187" s="30" t="str">
        <f>IF(応募者入力!$F$23="","",IFERROR(MID(応募者入力!$E$23,2,1)&amp;"年生",""))</f>
        <v/>
      </c>
    </row>
    <row r="188" spans="1:3" ht="39.950000000000003" customHeight="1">
      <c r="A188" s="10"/>
      <c r="B188" s="28" t="s">
        <v>34</v>
      </c>
      <c r="C188" s="31" t="str">
        <f>IF(応募者入力!$F$23="","",応募者入力!$G$23)</f>
        <v/>
      </c>
    </row>
    <row r="189" spans="1:3" ht="60" customHeight="1" thickBot="1">
      <c r="A189" s="10"/>
      <c r="B189" s="32" t="s">
        <v>6</v>
      </c>
      <c r="C189" s="33" t="str">
        <f>IF(応募者入力!$F$23="","",応募者入力!$F$23)</f>
        <v/>
      </c>
    </row>
    <row r="190" spans="1:3" ht="14.25" customHeight="1">
      <c r="A190" s="10"/>
      <c r="B190" s="13"/>
      <c r="C190" s="13"/>
    </row>
    <row r="191" spans="1:3" ht="13.5" customHeight="1">
      <c r="A191" s="43"/>
      <c r="B191" s="42"/>
      <c r="C191" s="12"/>
    </row>
    <row r="192" spans="1:3" ht="69.95" customHeight="1" thickBot="1">
      <c r="A192" s="11"/>
      <c r="B192" s="17" t="s">
        <v>31</v>
      </c>
      <c r="C192" s="18"/>
    </row>
    <row r="193" spans="1:3" ht="50.1" customHeight="1">
      <c r="A193" s="10"/>
      <c r="B193" s="24" t="s">
        <v>2</v>
      </c>
      <c r="C193" s="25" t="str">
        <f>IF(応募者入力!$F$24="","",応募者入力!$B$24)</f>
        <v/>
      </c>
    </row>
    <row r="194" spans="1:3" ht="50.1" customHeight="1">
      <c r="A194" s="10"/>
      <c r="B194" s="26" t="s">
        <v>32</v>
      </c>
      <c r="C194" s="27" t="str">
        <f>IF(応募者入力!$F$24="","","(大垣消防組合)")</f>
        <v/>
      </c>
    </row>
    <row r="195" spans="1:3" ht="50.1" customHeight="1">
      <c r="A195" s="10"/>
      <c r="B195" s="28" t="s">
        <v>3</v>
      </c>
      <c r="C195" s="39" t="str">
        <f>IF(応募者入力!$F$24="","",応募者入力!$C$24)</f>
        <v/>
      </c>
    </row>
    <row r="196" spans="1:3" ht="50.1" customHeight="1">
      <c r="A196" s="10"/>
      <c r="B196" s="26" t="s">
        <v>33</v>
      </c>
      <c r="C196" s="40"/>
    </row>
    <row r="197" spans="1:3" ht="50.1" customHeight="1">
      <c r="A197" s="10"/>
      <c r="B197" s="29" t="s">
        <v>5</v>
      </c>
      <c r="C197" s="30" t="str">
        <f>IF(応募者入力!$F$24="","",IFERROR(MID(応募者入力!$E$24,2,1)&amp;"年生",""))</f>
        <v/>
      </c>
    </row>
    <row r="198" spans="1:3" ht="39.950000000000003" customHeight="1">
      <c r="A198" s="10"/>
      <c r="B198" s="28" t="s">
        <v>34</v>
      </c>
      <c r="C198" s="31" t="str">
        <f>IF(応募者入力!$F$24="","",応募者入力!$G$24)</f>
        <v/>
      </c>
    </row>
    <row r="199" spans="1:3" ht="60" customHeight="1" thickBot="1">
      <c r="A199" s="10"/>
      <c r="B199" s="32" t="s">
        <v>6</v>
      </c>
      <c r="C199" s="33" t="str">
        <f>IF(応募者入力!$F$24="","",応募者入力!$F$24)</f>
        <v/>
      </c>
    </row>
    <row r="200" spans="1:3" ht="14.25" customHeight="1">
      <c r="A200" s="10"/>
      <c r="B200" s="13"/>
      <c r="C200" s="13"/>
    </row>
    <row r="201" spans="1:3" ht="13.5" customHeight="1">
      <c r="A201" s="43"/>
      <c r="B201" s="42"/>
      <c r="C201" s="12"/>
    </row>
    <row r="202" spans="1:3" ht="69.95" customHeight="1" thickBot="1">
      <c r="A202" s="11"/>
      <c r="B202" s="17" t="s">
        <v>31</v>
      </c>
      <c r="C202" s="18"/>
    </row>
    <row r="203" spans="1:3" ht="50.1" customHeight="1">
      <c r="A203" s="10"/>
      <c r="B203" s="24" t="s">
        <v>2</v>
      </c>
      <c r="C203" s="25" t="str">
        <f>IF(応募者入力!$F$25="","",応募者入力!$B$25)</f>
        <v/>
      </c>
    </row>
    <row r="204" spans="1:3" ht="50.1" customHeight="1">
      <c r="A204" s="10"/>
      <c r="B204" s="26" t="s">
        <v>32</v>
      </c>
      <c r="C204" s="27" t="str">
        <f>IF(応募者入力!$F$25="","","(大垣消防組合)")</f>
        <v/>
      </c>
    </row>
    <row r="205" spans="1:3" ht="50.1" customHeight="1">
      <c r="A205" s="10"/>
      <c r="B205" s="28" t="s">
        <v>3</v>
      </c>
      <c r="C205" s="39" t="str">
        <f>IF(応募者入力!$F$25="","",応募者入力!$C$25)</f>
        <v/>
      </c>
    </row>
    <row r="206" spans="1:3" ht="50.1" customHeight="1">
      <c r="A206" s="10"/>
      <c r="B206" s="26" t="s">
        <v>33</v>
      </c>
      <c r="C206" s="40"/>
    </row>
    <row r="207" spans="1:3" ht="50.1" customHeight="1">
      <c r="A207" s="10"/>
      <c r="B207" s="29" t="s">
        <v>5</v>
      </c>
      <c r="C207" s="30" t="str">
        <f>IF(応募者入力!$F$25="","",IFERROR(MID(応募者入力!$E$25,2,1)&amp;"年生",""))</f>
        <v/>
      </c>
    </row>
    <row r="208" spans="1:3" ht="39.950000000000003" customHeight="1">
      <c r="A208" s="10"/>
      <c r="B208" s="28" t="s">
        <v>34</v>
      </c>
      <c r="C208" s="31" t="str">
        <f>IF(応募者入力!$F$25="","",応募者入力!$G$25)</f>
        <v/>
      </c>
    </row>
    <row r="209" spans="1:3" ht="60" customHeight="1" thickBot="1">
      <c r="A209" s="10"/>
      <c r="B209" s="32" t="s">
        <v>6</v>
      </c>
      <c r="C209" s="33" t="str">
        <f>IF(応募者入力!$F$25="","",応募者入力!$F$25)</f>
        <v/>
      </c>
    </row>
    <row r="210" spans="1:3" ht="14.25" customHeight="1">
      <c r="A210" s="10"/>
      <c r="B210" s="13"/>
      <c r="C210" s="13"/>
    </row>
    <row r="211" spans="1:3" ht="13.5" customHeight="1">
      <c r="A211" s="43"/>
      <c r="B211" s="42"/>
      <c r="C211" s="12"/>
    </row>
    <row r="212" spans="1:3" ht="69.95" customHeight="1" thickBot="1">
      <c r="A212" s="11"/>
      <c r="B212" s="17" t="s">
        <v>31</v>
      </c>
      <c r="C212" s="18"/>
    </row>
    <row r="213" spans="1:3" ht="50.1" customHeight="1">
      <c r="A213" s="10"/>
      <c r="B213" s="24" t="s">
        <v>2</v>
      </c>
      <c r="C213" s="25" t="str">
        <f>IF(応募者入力!$F$26="","",応募者入力!$B$26)</f>
        <v/>
      </c>
    </row>
    <row r="214" spans="1:3" ht="50.1" customHeight="1">
      <c r="A214" s="10"/>
      <c r="B214" s="26" t="s">
        <v>32</v>
      </c>
      <c r="C214" s="27" t="str">
        <f>IF(応募者入力!$F$26="","","(大垣消防組合)")</f>
        <v/>
      </c>
    </row>
    <row r="215" spans="1:3" ht="50.1" customHeight="1">
      <c r="A215" s="10"/>
      <c r="B215" s="28" t="s">
        <v>3</v>
      </c>
      <c r="C215" s="39" t="str">
        <f>IF(応募者入力!$F$26="","",応募者入力!$C$26)</f>
        <v/>
      </c>
    </row>
    <row r="216" spans="1:3" ht="50.1" customHeight="1">
      <c r="A216" s="10"/>
      <c r="B216" s="26" t="s">
        <v>33</v>
      </c>
      <c r="C216" s="40"/>
    </row>
    <row r="217" spans="1:3" ht="50.1" customHeight="1">
      <c r="A217" s="10"/>
      <c r="B217" s="29" t="s">
        <v>5</v>
      </c>
      <c r="C217" s="30" t="str">
        <f>IF(応募者入力!$F$26="","",IFERROR(MID(応募者入力!$E$26,2,1)&amp;"年生",""))</f>
        <v/>
      </c>
    </row>
    <row r="218" spans="1:3" ht="39.950000000000003" customHeight="1">
      <c r="A218" s="10"/>
      <c r="B218" s="28" t="s">
        <v>34</v>
      </c>
      <c r="C218" s="31" t="str">
        <f>IF(応募者入力!$F$26="","",応募者入力!$G$26)</f>
        <v/>
      </c>
    </row>
    <row r="219" spans="1:3" ht="60" customHeight="1" thickBot="1">
      <c r="A219" s="10"/>
      <c r="B219" s="32" t="s">
        <v>6</v>
      </c>
      <c r="C219" s="33" t="str">
        <f>IF(応募者入力!$F$26="","",応募者入力!$F$26)</f>
        <v/>
      </c>
    </row>
    <row r="220" spans="1:3" ht="14.25" customHeight="1">
      <c r="A220" s="10"/>
      <c r="B220" s="13"/>
      <c r="C220" s="13"/>
    </row>
    <row r="221" spans="1:3" ht="13.5" customHeight="1">
      <c r="A221" s="43"/>
      <c r="B221" s="42"/>
      <c r="C221" s="12"/>
    </row>
    <row r="222" spans="1:3" ht="69.95" customHeight="1" thickBot="1">
      <c r="A222" s="11"/>
      <c r="B222" s="17" t="s">
        <v>31</v>
      </c>
      <c r="C222" s="18"/>
    </row>
    <row r="223" spans="1:3" ht="50.1" customHeight="1">
      <c r="A223" s="10"/>
      <c r="B223" s="24" t="s">
        <v>2</v>
      </c>
      <c r="C223" s="25" t="str">
        <f>IF(応募者入力!$F$27="","",応募者入力!$B$27)</f>
        <v/>
      </c>
    </row>
    <row r="224" spans="1:3" ht="50.1" customHeight="1">
      <c r="A224" s="10"/>
      <c r="B224" s="26" t="s">
        <v>32</v>
      </c>
      <c r="C224" s="27" t="str">
        <f>IF(応募者入力!$F$27="","","(大垣消防組合)")</f>
        <v/>
      </c>
    </row>
    <row r="225" spans="1:3" ht="50.1" customHeight="1">
      <c r="A225" s="10"/>
      <c r="B225" s="28" t="s">
        <v>3</v>
      </c>
      <c r="C225" s="39" t="str">
        <f>IF(応募者入力!$F$27="","",応募者入力!$C$27)</f>
        <v/>
      </c>
    </row>
    <row r="226" spans="1:3" ht="50.1" customHeight="1">
      <c r="A226" s="10"/>
      <c r="B226" s="26" t="s">
        <v>33</v>
      </c>
      <c r="C226" s="40"/>
    </row>
    <row r="227" spans="1:3" ht="50.1" customHeight="1">
      <c r="A227" s="10"/>
      <c r="B227" s="29" t="s">
        <v>5</v>
      </c>
      <c r="C227" s="30" t="str">
        <f>IF(応募者入力!$F$27="","",IFERROR(MID(応募者入力!$E$27,2,1)&amp;"年生",""))</f>
        <v/>
      </c>
    </row>
    <row r="228" spans="1:3" ht="39.950000000000003" customHeight="1">
      <c r="A228" s="10"/>
      <c r="B228" s="28" t="s">
        <v>34</v>
      </c>
      <c r="C228" s="31" t="str">
        <f>IF(応募者入力!$F$27="","",応募者入力!$G$27)</f>
        <v/>
      </c>
    </row>
    <row r="229" spans="1:3" ht="60" customHeight="1" thickBot="1">
      <c r="A229" s="10"/>
      <c r="B229" s="32" t="s">
        <v>6</v>
      </c>
      <c r="C229" s="33" t="str">
        <f>IF(応募者入力!$F$27="","",応募者入力!$F$27)</f>
        <v/>
      </c>
    </row>
    <row r="230" spans="1:3" ht="14.25" customHeight="1">
      <c r="A230" s="10"/>
      <c r="B230" s="13"/>
      <c r="C230" s="13"/>
    </row>
    <row r="231" spans="1:3" ht="13.5" customHeight="1">
      <c r="A231" s="43"/>
      <c r="B231" s="42"/>
      <c r="C231" s="12"/>
    </row>
    <row r="232" spans="1:3" ht="69.95" customHeight="1" thickBot="1">
      <c r="A232" s="11"/>
      <c r="B232" s="17" t="s">
        <v>31</v>
      </c>
      <c r="C232" s="18"/>
    </row>
    <row r="233" spans="1:3" ht="50.1" customHeight="1">
      <c r="A233" s="10"/>
      <c r="B233" s="24" t="s">
        <v>2</v>
      </c>
      <c r="C233" s="25" t="str">
        <f>IF(応募者入力!$F$28="","",応募者入力!$B$28)</f>
        <v/>
      </c>
    </row>
    <row r="234" spans="1:3" ht="50.1" customHeight="1">
      <c r="A234" s="10"/>
      <c r="B234" s="26" t="s">
        <v>32</v>
      </c>
      <c r="C234" s="27" t="str">
        <f>IF(応募者入力!$F$28="","","(大垣消防組合)")</f>
        <v/>
      </c>
    </row>
    <row r="235" spans="1:3" ht="50.1" customHeight="1">
      <c r="A235" s="10"/>
      <c r="B235" s="28" t="s">
        <v>3</v>
      </c>
      <c r="C235" s="39" t="str">
        <f>IF(応募者入力!$F$28="","",応募者入力!$C$28)</f>
        <v/>
      </c>
    </row>
    <row r="236" spans="1:3" ht="50.1" customHeight="1">
      <c r="A236" s="10"/>
      <c r="B236" s="26" t="s">
        <v>33</v>
      </c>
      <c r="C236" s="40"/>
    </row>
    <row r="237" spans="1:3" ht="50.1" customHeight="1">
      <c r="A237" s="10"/>
      <c r="B237" s="29" t="s">
        <v>5</v>
      </c>
      <c r="C237" s="30" t="str">
        <f>IF(応募者入力!$F$28="","",IFERROR(MID(応募者入力!$E$28,2,1)&amp;"年生",""))</f>
        <v/>
      </c>
    </row>
    <row r="238" spans="1:3" ht="39.950000000000003" customHeight="1">
      <c r="A238" s="10"/>
      <c r="B238" s="28" t="s">
        <v>34</v>
      </c>
      <c r="C238" s="31" t="str">
        <f>IF(応募者入力!$F$28="","",応募者入力!$G$28)</f>
        <v/>
      </c>
    </row>
    <row r="239" spans="1:3" ht="60" customHeight="1" thickBot="1">
      <c r="A239" s="10"/>
      <c r="B239" s="32" t="s">
        <v>6</v>
      </c>
      <c r="C239" s="33" t="str">
        <f>IF(応募者入力!$F$28="","",応募者入力!$F$28)</f>
        <v/>
      </c>
    </row>
    <row r="240" spans="1:3" ht="14.25" customHeight="1">
      <c r="A240" s="10"/>
      <c r="B240" s="13"/>
      <c r="C240" s="13"/>
    </row>
    <row r="241" spans="1:3" ht="13.5" customHeight="1">
      <c r="A241" s="43"/>
      <c r="B241" s="42"/>
      <c r="C241" s="12"/>
    </row>
    <row r="242" spans="1:3" ht="69.95" customHeight="1" thickBot="1">
      <c r="A242" s="11"/>
      <c r="B242" s="17" t="s">
        <v>31</v>
      </c>
      <c r="C242" s="18"/>
    </row>
    <row r="243" spans="1:3" ht="50.1" customHeight="1">
      <c r="A243" s="10"/>
      <c r="B243" s="24" t="s">
        <v>2</v>
      </c>
      <c r="C243" s="25" t="str">
        <f>IF(応募者入力!$F$29="","",応募者入力!$B$29)</f>
        <v/>
      </c>
    </row>
    <row r="244" spans="1:3" ht="50.1" customHeight="1">
      <c r="A244" s="10"/>
      <c r="B244" s="26" t="s">
        <v>32</v>
      </c>
      <c r="C244" s="27" t="str">
        <f>IF(応募者入力!$F$29="","","(大垣消防組合)")</f>
        <v/>
      </c>
    </row>
    <row r="245" spans="1:3" ht="50.1" customHeight="1">
      <c r="A245" s="10"/>
      <c r="B245" s="28" t="s">
        <v>3</v>
      </c>
      <c r="C245" s="39" t="str">
        <f>IF(応募者入力!$F$29="","",応募者入力!$C$29)</f>
        <v/>
      </c>
    </row>
    <row r="246" spans="1:3" ht="50.1" customHeight="1">
      <c r="A246" s="10"/>
      <c r="B246" s="26" t="s">
        <v>33</v>
      </c>
      <c r="C246" s="40"/>
    </row>
    <row r="247" spans="1:3" ht="50.1" customHeight="1">
      <c r="A247" s="10"/>
      <c r="B247" s="29" t="s">
        <v>5</v>
      </c>
      <c r="C247" s="30" t="str">
        <f>IF(応募者入力!$F$29="","",IFERROR(MID(応募者入力!$E$29,2,1)&amp;"年生",""))</f>
        <v/>
      </c>
    </row>
    <row r="248" spans="1:3" ht="39.950000000000003" customHeight="1">
      <c r="A248" s="10"/>
      <c r="B248" s="28" t="s">
        <v>34</v>
      </c>
      <c r="C248" s="31" t="str">
        <f>IF(応募者入力!$F$29="","",応募者入力!$G$29)</f>
        <v/>
      </c>
    </row>
    <row r="249" spans="1:3" ht="60" customHeight="1" thickBot="1">
      <c r="A249" s="10"/>
      <c r="B249" s="32" t="s">
        <v>6</v>
      </c>
      <c r="C249" s="33" t="str">
        <f>IF(応募者入力!$F$29="","",応募者入力!$F$29)</f>
        <v/>
      </c>
    </row>
    <row r="250" spans="1:3" ht="14.25" customHeight="1">
      <c r="A250" s="10"/>
      <c r="B250" s="13"/>
      <c r="C250" s="13"/>
    </row>
    <row r="251" spans="1:3" ht="13.5" customHeight="1">
      <c r="A251" s="43"/>
      <c r="B251" s="42"/>
      <c r="C251" s="12"/>
    </row>
    <row r="252" spans="1:3" ht="69.95" customHeight="1" thickBot="1">
      <c r="A252" s="11"/>
      <c r="B252" s="17" t="s">
        <v>31</v>
      </c>
      <c r="C252" s="18"/>
    </row>
    <row r="253" spans="1:3" ht="50.1" customHeight="1">
      <c r="A253" s="10"/>
      <c r="B253" s="24" t="s">
        <v>2</v>
      </c>
      <c r="C253" s="25" t="str">
        <f>IF(応募者入力!$F$30="","",応募者入力!$B$30)</f>
        <v/>
      </c>
    </row>
    <row r="254" spans="1:3" ht="50.1" customHeight="1">
      <c r="A254" s="10"/>
      <c r="B254" s="26" t="s">
        <v>32</v>
      </c>
      <c r="C254" s="27" t="str">
        <f>IF(応募者入力!$F$30="","","(大垣消防組合)")</f>
        <v/>
      </c>
    </row>
    <row r="255" spans="1:3" ht="50.1" customHeight="1">
      <c r="A255" s="10"/>
      <c r="B255" s="28" t="s">
        <v>3</v>
      </c>
      <c r="C255" s="39" t="str">
        <f>IF(応募者入力!$F$30="","",応募者入力!$C$30)</f>
        <v/>
      </c>
    </row>
    <row r="256" spans="1:3" ht="50.1" customHeight="1">
      <c r="A256" s="10"/>
      <c r="B256" s="26" t="s">
        <v>33</v>
      </c>
      <c r="C256" s="40"/>
    </row>
    <row r="257" spans="1:3" ht="50.1" customHeight="1">
      <c r="A257" s="10"/>
      <c r="B257" s="29" t="s">
        <v>5</v>
      </c>
      <c r="C257" s="30" t="str">
        <f>IF(応募者入力!$F$30="","",IFERROR(MID(応募者入力!$E$30,2,1)&amp;"年生",""))</f>
        <v/>
      </c>
    </row>
    <row r="258" spans="1:3" ht="39.950000000000003" customHeight="1">
      <c r="A258" s="10"/>
      <c r="B258" s="28" t="s">
        <v>34</v>
      </c>
      <c r="C258" s="31" t="str">
        <f>IF(応募者入力!$F$30="","",応募者入力!$G$30)</f>
        <v/>
      </c>
    </row>
    <row r="259" spans="1:3" ht="60" customHeight="1" thickBot="1">
      <c r="A259" s="10"/>
      <c r="B259" s="32" t="s">
        <v>6</v>
      </c>
      <c r="C259" s="33" t="str">
        <f>IF(応募者入力!$F$30="","",応募者入力!$F$30)</f>
        <v/>
      </c>
    </row>
    <row r="260" spans="1:3" ht="14.25" customHeight="1">
      <c r="A260" s="10"/>
      <c r="B260" s="13"/>
      <c r="C260" s="13"/>
    </row>
    <row r="261" spans="1:3" ht="13.5" customHeight="1">
      <c r="A261" s="43"/>
      <c r="B261" s="42"/>
      <c r="C261" s="12"/>
    </row>
    <row r="262" spans="1:3" ht="69.95" customHeight="1" thickBot="1">
      <c r="A262" s="11"/>
      <c r="B262" s="17" t="s">
        <v>31</v>
      </c>
      <c r="C262" s="18"/>
    </row>
    <row r="263" spans="1:3" ht="50.1" customHeight="1">
      <c r="A263" s="10"/>
      <c r="B263" s="24" t="s">
        <v>2</v>
      </c>
      <c r="C263" s="25" t="str">
        <f>IF(応募者入力!$F$31="","",応募者入力!$B$31)</f>
        <v/>
      </c>
    </row>
    <row r="264" spans="1:3" ht="50.1" customHeight="1">
      <c r="A264" s="10"/>
      <c r="B264" s="26" t="s">
        <v>32</v>
      </c>
      <c r="C264" s="27" t="str">
        <f>IF(応募者入力!$F$31="","","(大垣消防組合)")</f>
        <v/>
      </c>
    </row>
    <row r="265" spans="1:3" ht="50.1" customHeight="1">
      <c r="A265" s="10"/>
      <c r="B265" s="28" t="s">
        <v>3</v>
      </c>
      <c r="C265" s="39" t="str">
        <f>IF(応募者入力!$F$31="","",応募者入力!$C$31)</f>
        <v/>
      </c>
    </row>
    <row r="266" spans="1:3" ht="50.1" customHeight="1">
      <c r="A266" s="10"/>
      <c r="B266" s="26" t="s">
        <v>33</v>
      </c>
      <c r="C266" s="40"/>
    </row>
    <row r="267" spans="1:3" ht="50.1" customHeight="1">
      <c r="A267" s="10"/>
      <c r="B267" s="29" t="s">
        <v>5</v>
      </c>
      <c r="C267" s="30" t="str">
        <f>IF(応募者入力!$F$31="","",IFERROR(MID(応募者入力!$E$31,2,1)&amp;"年生",""))</f>
        <v/>
      </c>
    </row>
    <row r="268" spans="1:3" ht="39.950000000000003" customHeight="1">
      <c r="A268" s="10"/>
      <c r="B268" s="28" t="s">
        <v>34</v>
      </c>
      <c r="C268" s="31" t="str">
        <f>IF(応募者入力!$F$31="","",応募者入力!$G$31)</f>
        <v/>
      </c>
    </row>
    <row r="269" spans="1:3" ht="60" customHeight="1" thickBot="1">
      <c r="A269" s="10"/>
      <c r="B269" s="32" t="s">
        <v>6</v>
      </c>
      <c r="C269" s="33" t="str">
        <f>IF(応募者入力!$F$31="","",応募者入力!$F$31)</f>
        <v/>
      </c>
    </row>
    <row r="270" spans="1:3" ht="14.25" customHeight="1">
      <c r="A270" s="10"/>
      <c r="B270" s="13"/>
      <c r="C270" s="13"/>
    </row>
    <row r="271" spans="1:3" ht="13.5" customHeight="1">
      <c r="A271" s="43"/>
      <c r="B271" s="42"/>
      <c r="C271" s="12"/>
    </row>
    <row r="272" spans="1:3" ht="69.95" customHeight="1" thickBot="1">
      <c r="A272" s="11"/>
      <c r="B272" s="17" t="s">
        <v>31</v>
      </c>
      <c r="C272" s="18"/>
    </row>
    <row r="273" spans="1:3" ht="50.1" customHeight="1">
      <c r="A273" s="10"/>
      <c r="B273" s="24" t="s">
        <v>2</v>
      </c>
      <c r="C273" s="25" t="str">
        <f>IF(応募者入力!$F$32="","",応募者入力!$B$32)</f>
        <v/>
      </c>
    </row>
    <row r="274" spans="1:3" ht="50.1" customHeight="1">
      <c r="A274" s="10"/>
      <c r="B274" s="26" t="s">
        <v>32</v>
      </c>
      <c r="C274" s="27" t="str">
        <f>IF(応募者入力!$F$32="","","(大垣消防組合)")</f>
        <v/>
      </c>
    </row>
    <row r="275" spans="1:3" ht="50.1" customHeight="1">
      <c r="A275" s="10"/>
      <c r="B275" s="28" t="s">
        <v>3</v>
      </c>
      <c r="C275" s="39" t="str">
        <f>IF(応募者入力!$F$32="","",応募者入力!$C$32)</f>
        <v/>
      </c>
    </row>
    <row r="276" spans="1:3" ht="50.1" customHeight="1">
      <c r="A276" s="10"/>
      <c r="B276" s="26" t="s">
        <v>33</v>
      </c>
      <c r="C276" s="40"/>
    </row>
    <row r="277" spans="1:3" ht="50.1" customHeight="1">
      <c r="A277" s="10"/>
      <c r="B277" s="29" t="s">
        <v>5</v>
      </c>
      <c r="C277" s="30" t="str">
        <f>IF(応募者入力!$F$32="","",IFERROR(MID(応募者入力!$E$32,2,1)&amp;"年生",""))</f>
        <v/>
      </c>
    </row>
    <row r="278" spans="1:3" ht="39.950000000000003" customHeight="1">
      <c r="A278" s="10"/>
      <c r="B278" s="28" t="s">
        <v>34</v>
      </c>
      <c r="C278" s="31" t="str">
        <f>IF(応募者入力!$F$32="","",応募者入力!$G$32)</f>
        <v/>
      </c>
    </row>
    <row r="279" spans="1:3" ht="60" customHeight="1" thickBot="1">
      <c r="A279" s="10"/>
      <c r="B279" s="32" t="s">
        <v>6</v>
      </c>
      <c r="C279" s="33" t="str">
        <f>IF(応募者入力!$F$32="","",応募者入力!$F$32)</f>
        <v/>
      </c>
    </row>
    <row r="280" spans="1:3" ht="14.25" customHeight="1">
      <c r="A280" s="10"/>
      <c r="B280" s="13"/>
      <c r="C280" s="13"/>
    </row>
    <row r="281" spans="1:3" ht="13.5" customHeight="1">
      <c r="A281" s="43"/>
      <c r="B281" s="42"/>
      <c r="C281" s="12"/>
    </row>
    <row r="282" spans="1:3" ht="69.95" customHeight="1" thickBot="1">
      <c r="A282" s="11"/>
      <c r="B282" s="17" t="s">
        <v>31</v>
      </c>
      <c r="C282" s="18"/>
    </row>
    <row r="283" spans="1:3" ht="50.1" customHeight="1">
      <c r="A283" s="10"/>
      <c r="B283" s="24" t="s">
        <v>2</v>
      </c>
      <c r="C283" s="25" t="str">
        <f>IF(応募者入力!$F$33="","",応募者入力!$B$33)</f>
        <v/>
      </c>
    </row>
    <row r="284" spans="1:3" ht="50.1" customHeight="1">
      <c r="A284" s="10"/>
      <c r="B284" s="26" t="s">
        <v>32</v>
      </c>
      <c r="C284" s="27" t="str">
        <f>IF(応募者入力!$F$33="","","(大垣消防組合)")</f>
        <v/>
      </c>
    </row>
    <row r="285" spans="1:3" ht="50.1" customHeight="1">
      <c r="A285" s="10"/>
      <c r="B285" s="28" t="s">
        <v>3</v>
      </c>
      <c r="C285" s="39" t="str">
        <f>IF(応募者入力!$F$33="","",応募者入力!$C$33)</f>
        <v/>
      </c>
    </row>
    <row r="286" spans="1:3" ht="50.1" customHeight="1">
      <c r="A286" s="10"/>
      <c r="B286" s="26" t="s">
        <v>33</v>
      </c>
      <c r="C286" s="40"/>
    </row>
    <row r="287" spans="1:3" ht="50.1" customHeight="1">
      <c r="A287" s="10"/>
      <c r="B287" s="29" t="s">
        <v>5</v>
      </c>
      <c r="C287" s="30" t="str">
        <f>IF(応募者入力!$F$33="","",IFERROR(MID(応募者入力!$E$33,2,1)&amp;"年生",""))</f>
        <v/>
      </c>
    </row>
    <row r="288" spans="1:3" ht="39.950000000000003" customHeight="1">
      <c r="A288" s="10"/>
      <c r="B288" s="28" t="s">
        <v>34</v>
      </c>
      <c r="C288" s="31" t="str">
        <f>IF(応募者入力!$F$33="","",応募者入力!$G$33)</f>
        <v/>
      </c>
    </row>
    <row r="289" spans="1:3" ht="60" customHeight="1" thickBot="1">
      <c r="A289" s="10"/>
      <c r="B289" s="32" t="s">
        <v>6</v>
      </c>
      <c r="C289" s="33" t="str">
        <f>IF(応募者入力!$F$33="","",応募者入力!$F$33)</f>
        <v/>
      </c>
    </row>
    <row r="290" spans="1:3" ht="14.25" customHeight="1">
      <c r="A290" s="10"/>
      <c r="B290" s="13"/>
      <c r="C290" s="13"/>
    </row>
    <row r="291" spans="1:3" ht="13.5" customHeight="1">
      <c r="A291" s="43"/>
      <c r="B291" s="42"/>
      <c r="C291" s="12"/>
    </row>
    <row r="292" spans="1:3" ht="69.95" customHeight="1" thickBot="1">
      <c r="A292" s="11"/>
      <c r="B292" s="17" t="s">
        <v>31</v>
      </c>
      <c r="C292" s="18"/>
    </row>
    <row r="293" spans="1:3" ht="50.1" customHeight="1">
      <c r="A293" s="10"/>
      <c r="B293" s="24" t="s">
        <v>2</v>
      </c>
      <c r="C293" s="25" t="str">
        <f>IF(応募者入力!$F$34="","",応募者入力!$B$34)</f>
        <v/>
      </c>
    </row>
    <row r="294" spans="1:3" ht="50.1" customHeight="1">
      <c r="A294" s="10"/>
      <c r="B294" s="26" t="s">
        <v>32</v>
      </c>
      <c r="C294" s="27" t="str">
        <f>IF(応募者入力!$F$34="","","(大垣消防組合)")</f>
        <v/>
      </c>
    </row>
    <row r="295" spans="1:3" ht="50.1" customHeight="1">
      <c r="A295" s="10"/>
      <c r="B295" s="28" t="s">
        <v>3</v>
      </c>
      <c r="C295" s="39" t="str">
        <f>IF(応募者入力!$F$34="","",応募者入力!$C$34)</f>
        <v/>
      </c>
    </row>
    <row r="296" spans="1:3" ht="50.1" customHeight="1">
      <c r="A296" s="10"/>
      <c r="B296" s="26" t="s">
        <v>33</v>
      </c>
      <c r="C296" s="40"/>
    </row>
    <row r="297" spans="1:3" ht="50.1" customHeight="1">
      <c r="A297" s="10"/>
      <c r="B297" s="29" t="s">
        <v>5</v>
      </c>
      <c r="C297" s="30" t="str">
        <f>IF(応募者入力!$F$34="","",IFERROR(MID(応募者入力!$E$34,2,1)&amp;"年生",""))</f>
        <v/>
      </c>
    </row>
    <row r="298" spans="1:3" ht="39.950000000000003" customHeight="1">
      <c r="A298" s="10"/>
      <c r="B298" s="28" t="s">
        <v>34</v>
      </c>
      <c r="C298" s="31" t="str">
        <f>IF(応募者入力!$F$34="","",応募者入力!$G$34)</f>
        <v/>
      </c>
    </row>
    <row r="299" spans="1:3" ht="60" customHeight="1" thickBot="1">
      <c r="A299" s="10"/>
      <c r="B299" s="32" t="s">
        <v>6</v>
      </c>
      <c r="C299" s="33" t="str">
        <f>IF(応募者入力!$F$34="","",応募者入力!$F$34)</f>
        <v/>
      </c>
    </row>
    <row r="300" spans="1:3" ht="14.25" customHeight="1">
      <c r="A300" s="10"/>
      <c r="B300" s="13"/>
      <c r="C300" s="13"/>
    </row>
    <row r="301" spans="1:3" ht="13.5" customHeight="1">
      <c r="A301" s="43"/>
      <c r="B301" s="42"/>
      <c r="C301" s="12"/>
    </row>
    <row r="302" spans="1:3" ht="69.95" customHeight="1" thickBot="1">
      <c r="A302" s="11"/>
      <c r="B302" s="17" t="s">
        <v>31</v>
      </c>
      <c r="C302" s="18"/>
    </row>
    <row r="303" spans="1:3" ht="50.1" customHeight="1">
      <c r="A303" s="10"/>
      <c r="B303" s="24" t="s">
        <v>2</v>
      </c>
      <c r="C303" s="25" t="str">
        <f>IF(応募者入力!$F$35="","",応募者入力!$B$35)</f>
        <v/>
      </c>
    </row>
    <row r="304" spans="1:3" ht="50.1" customHeight="1">
      <c r="A304" s="10"/>
      <c r="B304" s="26" t="s">
        <v>32</v>
      </c>
      <c r="C304" s="27" t="str">
        <f>IF(応募者入力!$F$35="","","(大垣消防組合)")</f>
        <v/>
      </c>
    </row>
    <row r="305" spans="1:3" ht="50.1" customHeight="1">
      <c r="A305" s="10"/>
      <c r="B305" s="28" t="s">
        <v>3</v>
      </c>
      <c r="C305" s="39" t="str">
        <f>IF(応募者入力!$F$35="","",応募者入力!$C$35)</f>
        <v/>
      </c>
    </row>
    <row r="306" spans="1:3" ht="50.1" customHeight="1">
      <c r="A306" s="10"/>
      <c r="B306" s="26" t="s">
        <v>33</v>
      </c>
      <c r="C306" s="40"/>
    </row>
    <row r="307" spans="1:3" ht="50.1" customHeight="1">
      <c r="A307" s="10"/>
      <c r="B307" s="29" t="s">
        <v>5</v>
      </c>
      <c r="C307" s="30" t="str">
        <f>IF(応募者入力!$F$35="","",IFERROR(MID(応募者入力!$E$35,2,1)&amp;"年生",""))</f>
        <v/>
      </c>
    </row>
    <row r="308" spans="1:3" ht="39.950000000000003" customHeight="1">
      <c r="A308" s="10"/>
      <c r="B308" s="28" t="s">
        <v>34</v>
      </c>
      <c r="C308" s="31" t="str">
        <f>IF(応募者入力!$F$35="","",応募者入力!$G$35)</f>
        <v/>
      </c>
    </row>
    <row r="309" spans="1:3" ht="60" customHeight="1" thickBot="1">
      <c r="A309" s="10"/>
      <c r="B309" s="32" t="s">
        <v>6</v>
      </c>
      <c r="C309" s="33" t="str">
        <f>IF(応募者入力!$F$35="","",応募者入力!$F$35)</f>
        <v/>
      </c>
    </row>
    <row r="310" spans="1:3" ht="14.25" customHeight="1">
      <c r="A310" s="10"/>
      <c r="B310" s="13"/>
      <c r="C310" s="13"/>
    </row>
    <row r="311" spans="1:3" ht="13.5" customHeight="1">
      <c r="A311" s="43"/>
      <c r="B311" s="42"/>
      <c r="C311" s="12"/>
    </row>
    <row r="312" spans="1:3" ht="69.95" customHeight="1" thickBot="1">
      <c r="A312" s="11"/>
      <c r="B312" s="17" t="s">
        <v>31</v>
      </c>
      <c r="C312" s="18"/>
    </row>
    <row r="313" spans="1:3" ht="50.1" customHeight="1">
      <c r="A313" s="10"/>
      <c r="B313" s="24" t="s">
        <v>2</v>
      </c>
      <c r="C313" s="25" t="str">
        <f>IF(応募者入力!$F$36="","",応募者入力!$B$36)</f>
        <v/>
      </c>
    </row>
    <row r="314" spans="1:3" ht="50.1" customHeight="1">
      <c r="A314" s="10"/>
      <c r="B314" s="26" t="s">
        <v>32</v>
      </c>
      <c r="C314" s="27" t="str">
        <f>IF(応募者入力!$F$36="","","(大垣消防組合)")</f>
        <v/>
      </c>
    </row>
    <row r="315" spans="1:3" ht="50.1" customHeight="1">
      <c r="A315" s="10"/>
      <c r="B315" s="28" t="s">
        <v>3</v>
      </c>
      <c r="C315" s="39" t="str">
        <f>IF(応募者入力!$F$36="","",応募者入力!$C$36)</f>
        <v/>
      </c>
    </row>
    <row r="316" spans="1:3" ht="50.1" customHeight="1">
      <c r="A316" s="10"/>
      <c r="B316" s="26" t="s">
        <v>33</v>
      </c>
      <c r="C316" s="40"/>
    </row>
    <row r="317" spans="1:3" ht="50.1" customHeight="1">
      <c r="A317" s="10"/>
      <c r="B317" s="29" t="s">
        <v>5</v>
      </c>
      <c r="C317" s="30" t="str">
        <f>IF(応募者入力!$F$36="","",IFERROR(MID(応募者入力!$E$36,2,1)&amp;"年生",""))</f>
        <v/>
      </c>
    </row>
    <row r="318" spans="1:3" ht="39.950000000000003" customHeight="1">
      <c r="A318" s="10"/>
      <c r="B318" s="28" t="s">
        <v>34</v>
      </c>
      <c r="C318" s="31" t="str">
        <f>IF(応募者入力!$F$36="","",応募者入力!$G$36)</f>
        <v/>
      </c>
    </row>
    <row r="319" spans="1:3" ht="60" customHeight="1" thickBot="1">
      <c r="A319" s="10"/>
      <c r="B319" s="32" t="s">
        <v>6</v>
      </c>
      <c r="C319" s="33" t="str">
        <f>IF(応募者入力!$F$36="","",応募者入力!$F$36)</f>
        <v/>
      </c>
    </row>
    <row r="320" spans="1:3" ht="14.25" customHeight="1">
      <c r="A320" s="10"/>
      <c r="B320" s="13"/>
      <c r="C320" s="13"/>
    </row>
    <row r="321" spans="1:3" ht="13.5" customHeight="1">
      <c r="A321" s="43"/>
      <c r="B321" s="42"/>
      <c r="C321" s="12"/>
    </row>
    <row r="322" spans="1:3" ht="69.95" customHeight="1" thickBot="1">
      <c r="A322" s="11"/>
      <c r="B322" s="17" t="s">
        <v>31</v>
      </c>
      <c r="C322" s="18"/>
    </row>
    <row r="323" spans="1:3" ht="50.1" customHeight="1">
      <c r="A323" s="10"/>
      <c r="B323" s="24" t="s">
        <v>2</v>
      </c>
      <c r="C323" s="25" t="str">
        <f>IF(応募者入力!$F$37="","",応募者入力!$B$37)</f>
        <v/>
      </c>
    </row>
    <row r="324" spans="1:3" ht="50.1" customHeight="1">
      <c r="A324" s="10"/>
      <c r="B324" s="26" t="s">
        <v>32</v>
      </c>
      <c r="C324" s="27" t="str">
        <f>IF(応募者入力!$F$37="","","(大垣消防組合)")</f>
        <v/>
      </c>
    </row>
    <row r="325" spans="1:3" ht="50.1" customHeight="1">
      <c r="A325" s="10"/>
      <c r="B325" s="28" t="s">
        <v>3</v>
      </c>
      <c r="C325" s="39" t="str">
        <f>IF(応募者入力!$F$37="","",応募者入力!$C$37)</f>
        <v/>
      </c>
    </row>
    <row r="326" spans="1:3" ht="50.1" customHeight="1">
      <c r="A326" s="10"/>
      <c r="B326" s="26" t="s">
        <v>33</v>
      </c>
      <c r="C326" s="40"/>
    </row>
    <row r="327" spans="1:3" ht="50.1" customHeight="1">
      <c r="A327" s="10"/>
      <c r="B327" s="29" t="s">
        <v>5</v>
      </c>
      <c r="C327" s="30" t="str">
        <f>IF(応募者入力!$F$37="","",IFERROR(MID(応募者入力!$E$37,2,1)&amp;"年生",""))</f>
        <v/>
      </c>
    </row>
    <row r="328" spans="1:3" ht="39.950000000000003" customHeight="1">
      <c r="A328" s="10"/>
      <c r="B328" s="28" t="s">
        <v>34</v>
      </c>
      <c r="C328" s="31" t="str">
        <f>IF(応募者入力!$F$37="","",応募者入力!$G$37)</f>
        <v/>
      </c>
    </row>
    <row r="329" spans="1:3" ht="60" customHeight="1" thickBot="1">
      <c r="A329" s="10"/>
      <c r="B329" s="32" t="s">
        <v>6</v>
      </c>
      <c r="C329" s="33" t="str">
        <f>IF(応募者入力!$F$37="","",応募者入力!$F$37)</f>
        <v/>
      </c>
    </row>
    <row r="330" spans="1:3" ht="14.25" customHeight="1">
      <c r="A330" s="10"/>
      <c r="B330" s="13"/>
      <c r="C330" s="13"/>
    </row>
    <row r="331" spans="1:3" ht="13.5" customHeight="1">
      <c r="A331" s="43"/>
      <c r="B331" s="42"/>
      <c r="C331" s="12"/>
    </row>
    <row r="332" spans="1:3" ht="69.95" customHeight="1" thickBot="1">
      <c r="A332" s="11"/>
      <c r="B332" s="17" t="s">
        <v>31</v>
      </c>
      <c r="C332" s="18"/>
    </row>
    <row r="333" spans="1:3" ht="50.1" customHeight="1">
      <c r="A333" s="10"/>
      <c r="B333" s="24" t="s">
        <v>2</v>
      </c>
      <c r="C333" s="25" t="str">
        <f>IF(応募者入力!$F$38="","",応募者入力!$B$38)</f>
        <v/>
      </c>
    </row>
    <row r="334" spans="1:3" ht="50.1" customHeight="1">
      <c r="A334" s="10"/>
      <c r="B334" s="26" t="s">
        <v>32</v>
      </c>
      <c r="C334" s="27" t="str">
        <f>IF(応募者入力!$F$38="","","(大垣消防組合)")</f>
        <v/>
      </c>
    </row>
    <row r="335" spans="1:3" ht="50.1" customHeight="1">
      <c r="A335" s="10"/>
      <c r="B335" s="28" t="s">
        <v>3</v>
      </c>
      <c r="C335" s="39" t="str">
        <f>IF(応募者入力!$F$38="","",応募者入力!$C$38)</f>
        <v/>
      </c>
    </row>
    <row r="336" spans="1:3" ht="50.1" customHeight="1">
      <c r="A336" s="10"/>
      <c r="B336" s="26" t="s">
        <v>33</v>
      </c>
      <c r="C336" s="40"/>
    </row>
    <row r="337" spans="1:3" ht="50.1" customHeight="1">
      <c r="A337" s="10"/>
      <c r="B337" s="29" t="s">
        <v>5</v>
      </c>
      <c r="C337" s="30" t="str">
        <f>IF(応募者入力!$F$38="","",IFERROR(MID(応募者入力!$E$38,2,1)&amp;"年生",""))</f>
        <v/>
      </c>
    </row>
    <row r="338" spans="1:3" ht="39.950000000000003" customHeight="1">
      <c r="A338" s="10"/>
      <c r="B338" s="28" t="s">
        <v>34</v>
      </c>
      <c r="C338" s="31" t="str">
        <f>IF(応募者入力!$F$38="","",応募者入力!$G$38)</f>
        <v/>
      </c>
    </row>
    <row r="339" spans="1:3" ht="60" customHeight="1" thickBot="1">
      <c r="A339" s="10"/>
      <c r="B339" s="32" t="s">
        <v>6</v>
      </c>
      <c r="C339" s="33" t="str">
        <f>IF(応募者入力!$F$38="","",応募者入力!$F$38)</f>
        <v/>
      </c>
    </row>
    <row r="340" spans="1:3" ht="14.25" customHeight="1">
      <c r="A340" s="10"/>
      <c r="B340" s="13"/>
      <c r="C340" s="13"/>
    </row>
    <row r="341" spans="1:3" ht="13.5" customHeight="1">
      <c r="A341" s="43"/>
      <c r="B341" s="42"/>
      <c r="C341" s="12"/>
    </row>
    <row r="342" spans="1:3" ht="69.95" customHeight="1" thickBot="1">
      <c r="A342" s="11"/>
      <c r="B342" s="17" t="s">
        <v>31</v>
      </c>
      <c r="C342" s="18"/>
    </row>
    <row r="343" spans="1:3" ht="50.1" customHeight="1">
      <c r="A343" s="10"/>
      <c r="B343" s="24" t="s">
        <v>2</v>
      </c>
      <c r="C343" s="25" t="str">
        <f>IF(応募者入力!$F$39="","",応募者入力!$B$39)</f>
        <v/>
      </c>
    </row>
    <row r="344" spans="1:3" ht="50.1" customHeight="1">
      <c r="A344" s="10"/>
      <c r="B344" s="26" t="s">
        <v>32</v>
      </c>
      <c r="C344" s="27" t="str">
        <f>IF(応募者入力!$F$39="","","(大垣消防組合)")</f>
        <v/>
      </c>
    </row>
    <row r="345" spans="1:3" ht="50.1" customHeight="1">
      <c r="A345" s="10"/>
      <c r="B345" s="28" t="s">
        <v>3</v>
      </c>
      <c r="C345" s="39" t="str">
        <f>IF(応募者入力!$F$39="","",応募者入力!$C$39)</f>
        <v/>
      </c>
    </row>
    <row r="346" spans="1:3" ht="50.1" customHeight="1">
      <c r="A346" s="10"/>
      <c r="B346" s="26" t="s">
        <v>33</v>
      </c>
      <c r="C346" s="40"/>
    </row>
    <row r="347" spans="1:3" ht="50.1" customHeight="1">
      <c r="A347" s="10"/>
      <c r="B347" s="29" t="s">
        <v>5</v>
      </c>
      <c r="C347" s="30" t="str">
        <f>IF(応募者入力!$F$39="","",IFERROR(MID(応募者入力!$E$39,2,1)&amp;"年生",""))</f>
        <v/>
      </c>
    </row>
    <row r="348" spans="1:3" ht="39.950000000000003" customHeight="1">
      <c r="A348" s="10"/>
      <c r="B348" s="28" t="s">
        <v>34</v>
      </c>
      <c r="C348" s="31" t="str">
        <f>IF(応募者入力!$F$39="","",応募者入力!$G$39)</f>
        <v/>
      </c>
    </row>
    <row r="349" spans="1:3" ht="60" customHeight="1" thickBot="1">
      <c r="A349" s="10"/>
      <c r="B349" s="32" t="s">
        <v>6</v>
      </c>
      <c r="C349" s="33" t="str">
        <f>IF(応募者入力!$F$39="","",応募者入力!$F$39)</f>
        <v/>
      </c>
    </row>
    <row r="350" spans="1:3" ht="14.25" customHeight="1">
      <c r="A350" s="10"/>
      <c r="B350" s="13"/>
      <c r="C350" s="13"/>
    </row>
    <row r="351" spans="1:3" ht="13.5" customHeight="1">
      <c r="A351" s="43"/>
      <c r="B351" s="42"/>
      <c r="C351" s="12"/>
    </row>
    <row r="352" spans="1:3" ht="69.95" customHeight="1" thickBot="1">
      <c r="A352" s="11"/>
      <c r="B352" s="17" t="s">
        <v>31</v>
      </c>
      <c r="C352" s="18"/>
    </row>
    <row r="353" spans="1:3" ht="50.1" customHeight="1">
      <c r="A353" s="10"/>
      <c r="B353" s="24" t="s">
        <v>2</v>
      </c>
      <c r="C353" s="25" t="str">
        <f>IF(応募者入力!$F$40="","",応募者入力!$B$40)</f>
        <v/>
      </c>
    </row>
    <row r="354" spans="1:3" ht="50.1" customHeight="1">
      <c r="A354" s="10"/>
      <c r="B354" s="26" t="s">
        <v>32</v>
      </c>
      <c r="C354" s="27" t="str">
        <f>IF(応募者入力!$F$40="","","(大垣消防組合)")</f>
        <v/>
      </c>
    </row>
    <row r="355" spans="1:3" ht="50.1" customHeight="1">
      <c r="A355" s="10"/>
      <c r="B355" s="28" t="s">
        <v>3</v>
      </c>
      <c r="C355" s="39" t="str">
        <f>IF(応募者入力!$F$40="","",応募者入力!$C$40)</f>
        <v/>
      </c>
    </row>
    <row r="356" spans="1:3" ht="50.1" customHeight="1">
      <c r="A356" s="10"/>
      <c r="B356" s="26" t="s">
        <v>33</v>
      </c>
      <c r="C356" s="40"/>
    </row>
    <row r="357" spans="1:3" ht="50.1" customHeight="1">
      <c r="A357" s="10"/>
      <c r="B357" s="29" t="s">
        <v>5</v>
      </c>
      <c r="C357" s="30" t="str">
        <f>IF(応募者入力!$F$40="","",IFERROR(MID(応募者入力!$E$40,2,1)&amp;"年生",""))</f>
        <v/>
      </c>
    </row>
    <row r="358" spans="1:3" ht="39.950000000000003" customHeight="1">
      <c r="A358" s="10"/>
      <c r="B358" s="28" t="s">
        <v>34</v>
      </c>
      <c r="C358" s="31" t="str">
        <f>IF(応募者入力!$F$40="","",応募者入力!$G$40)</f>
        <v/>
      </c>
    </row>
    <row r="359" spans="1:3" ht="60" customHeight="1" thickBot="1">
      <c r="A359" s="10"/>
      <c r="B359" s="32" t="s">
        <v>6</v>
      </c>
      <c r="C359" s="33" t="str">
        <f>IF(応募者入力!$F$40="","",応募者入力!$F$40)</f>
        <v/>
      </c>
    </row>
    <row r="360" spans="1:3" ht="14.25" customHeight="1">
      <c r="A360" s="10"/>
      <c r="B360" s="13"/>
      <c r="C360" s="13"/>
    </row>
    <row r="361" spans="1:3" ht="13.5" customHeight="1">
      <c r="A361" s="43"/>
      <c r="B361" s="42"/>
      <c r="C361" s="12"/>
    </row>
    <row r="362" spans="1:3" ht="69.95" customHeight="1" thickBot="1">
      <c r="A362" s="11"/>
      <c r="B362" s="17" t="s">
        <v>31</v>
      </c>
      <c r="C362" s="18"/>
    </row>
    <row r="363" spans="1:3" ht="50.1" customHeight="1">
      <c r="A363" s="10"/>
      <c r="B363" s="24" t="s">
        <v>2</v>
      </c>
      <c r="C363" s="25" t="str">
        <f>IF(応募者入力!$F$41="","",応募者入力!$B$41)</f>
        <v/>
      </c>
    </row>
    <row r="364" spans="1:3" ht="50.1" customHeight="1">
      <c r="A364" s="10"/>
      <c r="B364" s="26" t="s">
        <v>32</v>
      </c>
      <c r="C364" s="27" t="str">
        <f>IF(応募者入力!$F$41="","","(大垣消防組合)")</f>
        <v/>
      </c>
    </row>
    <row r="365" spans="1:3" ht="50.1" customHeight="1">
      <c r="A365" s="10"/>
      <c r="B365" s="28" t="s">
        <v>3</v>
      </c>
      <c r="C365" s="39" t="str">
        <f>IF(応募者入力!$F$41="","",応募者入力!$C$41)</f>
        <v/>
      </c>
    </row>
    <row r="366" spans="1:3" ht="50.1" customHeight="1">
      <c r="A366" s="10"/>
      <c r="B366" s="26" t="s">
        <v>33</v>
      </c>
      <c r="C366" s="40"/>
    </row>
    <row r="367" spans="1:3" ht="50.1" customHeight="1">
      <c r="A367" s="10"/>
      <c r="B367" s="29" t="s">
        <v>5</v>
      </c>
      <c r="C367" s="30" t="str">
        <f>IF(応募者入力!$F$41="","",IFERROR(MID(応募者入力!$E$41,2,1)&amp;"年生",""))</f>
        <v/>
      </c>
    </row>
    <row r="368" spans="1:3" ht="39.950000000000003" customHeight="1">
      <c r="A368" s="10"/>
      <c r="B368" s="28" t="s">
        <v>34</v>
      </c>
      <c r="C368" s="31" t="str">
        <f>IF(応募者入力!$F$41="","",応募者入力!$G$41)</f>
        <v/>
      </c>
    </row>
    <row r="369" spans="1:3" ht="60" customHeight="1" thickBot="1">
      <c r="A369" s="10"/>
      <c r="B369" s="32" t="s">
        <v>6</v>
      </c>
      <c r="C369" s="33" t="str">
        <f>IF(応募者入力!$F$41="","",応募者入力!$F$41)</f>
        <v/>
      </c>
    </row>
    <row r="370" spans="1:3" ht="14.25" customHeight="1">
      <c r="A370" s="10"/>
      <c r="B370" s="13"/>
      <c r="C370" s="13"/>
    </row>
    <row r="371" spans="1:3" ht="13.5" customHeight="1">
      <c r="A371" s="43"/>
      <c r="B371" s="42"/>
      <c r="C371" s="12"/>
    </row>
    <row r="372" spans="1:3" ht="69.95" customHeight="1" thickBot="1">
      <c r="A372" s="11"/>
      <c r="B372" s="17" t="s">
        <v>31</v>
      </c>
      <c r="C372" s="18"/>
    </row>
    <row r="373" spans="1:3" ht="50.1" customHeight="1">
      <c r="A373" s="10"/>
      <c r="B373" s="24" t="s">
        <v>2</v>
      </c>
      <c r="C373" s="25" t="str">
        <f>IF(応募者入力!$F$42="","",応募者入力!$B$42)</f>
        <v/>
      </c>
    </row>
    <row r="374" spans="1:3" ht="50.1" customHeight="1">
      <c r="A374" s="10"/>
      <c r="B374" s="26" t="s">
        <v>32</v>
      </c>
      <c r="C374" s="27" t="str">
        <f>IF(応募者入力!$F$42="","","(大垣消防組合)")</f>
        <v/>
      </c>
    </row>
    <row r="375" spans="1:3" ht="50.1" customHeight="1">
      <c r="A375" s="10"/>
      <c r="B375" s="28" t="s">
        <v>3</v>
      </c>
      <c r="C375" s="39" t="str">
        <f>IF(応募者入力!$F$42="","",応募者入力!$C$42)</f>
        <v/>
      </c>
    </row>
    <row r="376" spans="1:3" ht="50.1" customHeight="1">
      <c r="A376" s="10"/>
      <c r="B376" s="26" t="s">
        <v>33</v>
      </c>
      <c r="C376" s="40"/>
    </row>
    <row r="377" spans="1:3" ht="50.1" customHeight="1">
      <c r="A377" s="10"/>
      <c r="B377" s="29" t="s">
        <v>5</v>
      </c>
      <c r="C377" s="30" t="str">
        <f>IF(応募者入力!$F$42="","",IFERROR(MID(応募者入力!$E$42,2,1)&amp;"年生",""))</f>
        <v/>
      </c>
    </row>
    <row r="378" spans="1:3" ht="39.950000000000003" customHeight="1">
      <c r="A378" s="10"/>
      <c r="B378" s="28" t="s">
        <v>34</v>
      </c>
      <c r="C378" s="31" t="str">
        <f>IF(応募者入力!$F$42="","",応募者入力!$G$42)</f>
        <v/>
      </c>
    </row>
    <row r="379" spans="1:3" ht="60" customHeight="1" thickBot="1">
      <c r="A379" s="10"/>
      <c r="B379" s="32" t="s">
        <v>6</v>
      </c>
      <c r="C379" s="33" t="str">
        <f>IF(応募者入力!$F$42="","",応募者入力!$F$42)</f>
        <v/>
      </c>
    </row>
    <row r="380" spans="1:3" ht="14.25" customHeight="1">
      <c r="A380" s="10"/>
      <c r="B380" s="13"/>
      <c r="C380" s="13"/>
    </row>
    <row r="381" spans="1:3" ht="13.5" customHeight="1">
      <c r="A381" s="43"/>
      <c r="B381" s="42"/>
      <c r="C381" s="12"/>
    </row>
    <row r="382" spans="1:3" ht="69.95" customHeight="1" thickBot="1">
      <c r="A382" s="11"/>
      <c r="B382" s="17" t="s">
        <v>31</v>
      </c>
      <c r="C382" s="18"/>
    </row>
    <row r="383" spans="1:3" ht="50.1" customHeight="1">
      <c r="A383" s="10"/>
      <c r="B383" s="24" t="s">
        <v>2</v>
      </c>
      <c r="C383" s="25" t="str">
        <f>IF(応募者入力!$F$43="","",応募者入力!$B$43)</f>
        <v/>
      </c>
    </row>
    <row r="384" spans="1:3" ht="50.1" customHeight="1">
      <c r="A384" s="10"/>
      <c r="B384" s="26" t="s">
        <v>32</v>
      </c>
      <c r="C384" s="27" t="str">
        <f>IF(応募者入力!$F$43="","","(大垣消防組合)")</f>
        <v/>
      </c>
    </row>
    <row r="385" spans="1:3" ht="50.1" customHeight="1">
      <c r="A385" s="10"/>
      <c r="B385" s="28" t="s">
        <v>3</v>
      </c>
      <c r="C385" s="39" t="str">
        <f>IF(応募者入力!$F$43="","",応募者入力!$C$43)</f>
        <v/>
      </c>
    </row>
    <row r="386" spans="1:3" ht="50.1" customHeight="1">
      <c r="A386" s="10"/>
      <c r="B386" s="26" t="s">
        <v>33</v>
      </c>
      <c r="C386" s="40"/>
    </row>
    <row r="387" spans="1:3" ht="50.1" customHeight="1">
      <c r="A387" s="10"/>
      <c r="B387" s="29" t="s">
        <v>5</v>
      </c>
      <c r="C387" s="30" t="str">
        <f>IF(応募者入力!$F$43="","",IFERROR(MID(応募者入力!$E$43,2,1)&amp;"年生",""))</f>
        <v/>
      </c>
    </row>
    <row r="388" spans="1:3" ht="39.950000000000003" customHeight="1">
      <c r="A388" s="10"/>
      <c r="B388" s="28" t="s">
        <v>34</v>
      </c>
      <c r="C388" s="31" t="str">
        <f>IF(応募者入力!$F$43="","",応募者入力!$G$43)</f>
        <v/>
      </c>
    </row>
    <row r="389" spans="1:3" ht="60" customHeight="1" thickBot="1">
      <c r="A389" s="10"/>
      <c r="B389" s="32" t="s">
        <v>6</v>
      </c>
      <c r="C389" s="33" t="str">
        <f>IF(応募者入力!$F$43="","",応募者入力!$F$43)</f>
        <v/>
      </c>
    </row>
    <row r="390" spans="1:3" ht="14.25" customHeight="1">
      <c r="A390" s="10"/>
      <c r="B390" s="13"/>
      <c r="C390" s="13"/>
    </row>
    <row r="391" spans="1:3" ht="13.5" customHeight="1">
      <c r="A391" s="43"/>
      <c r="B391" s="42"/>
      <c r="C391" s="12"/>
    </row>
    <row r="392" spans="1:3" ht="69.95" customHeight="1" thickBot="1">
      <c r="A392" s="11"/>
      <c r="B392" s="17" t="s">
        <v>31</v>
      </c>
      <c r="C392" s="18"/>
    </row>
    <row r="393" spans="1:3" ht="50.1" customHeight="1">
      <c r="A393" s="10"/>
      <c r="B393" s="24" t="s">
        <v>2</v>
      </c>
      <c r="C393" s="25" t="str">
        <f>IF(応募者入力!$F$44="","",応募者入力!$B$44)</f>
        <v/>
      </c>
    </row>
    <row r="394" spans="1:3" ht="50.1" customHeight="1">
      <c r="A394" s="10"/>
      <c r="B394" s="26" t="s">
        <v>32</v>
      </c>
      <c r="C394" s="27" t="str">
        <f>IF(応募者入力!$F$44="","","(大垣消防組合)")</f>
        <v/>
      </c>
    </row>
    <row r="395" spans="1:3" ht="50.1" customHeight="1">
      <c r="A395" s="10"/>
      <c r="B395" s="28" t="s">
        <v>3</v>
      </c>
      <c r="C395" s="39" t="str">
        <f>IF(応募者入力!$F$44="","",応募者入力!$C$44)</f>
        <v/>
      </c>
    </row>
    <row r="396" spans="1:3" ht="50.1" customHeight="1">
      <c r="A396" s="10"/>
      <c r="B396" s="26" t="s">
        <v>33</v>
      </c>
      <c r="C396" s="40"/>
    </row>
    <row r="397" spans="1:3" ht="50.1" customHeight="1">
      <c r="A397" s="10"/>
      <c r="B397" s="29" t="s">
        <v>5</v>
      </c>
      <c r="C397" s="30" t="str">
        <f>IF(応募者入力!$F$44="","",IFERROR(MID(応募者入力!$E$44,2,1)&amp;"年生",""))</f>
        <v/>
      </c>
    </row>
    <row r="398" spans="1:3" ht="39.950000000000003" customHeight="1">
      <c r="A398" s="10"/>
      <c r="B398" s="28" t="s">
        <v>34</v>
      </c>
      <c r="C398" s="31" t="str">
        <f>IF(応募者入力!$F$44="","",応募者入力!$G$44)</f>
        <v/>
      </c>
    </row>
    <row r="399" spans="1:3" ht="60" customHeight="1" thickBot="1">
      <c r="A399" s="10"/>
      <c r="B399" s="32" t="s">
        <v>6</v>
      </c>
      <c r="C399" s="33" t="str">
        <f>IF(応募者入力!$F$44="","",応募者入力!$F$44)</f>
        <v/>
      </c>
    </row>
    <row r="400" spans="1:3" ht="14.25" customHeight="1">
      <c r="A400" s="10"/>
      <c r="B400" s="13"/>
      <c r="C400" s="13"/>
    </row>
    <row r="401" spans="1:3" ht="13.5" customHeight="1">
      <c r="A401" s="43"/>
      <c r="B401" s="42"/>
      <c r="C401" s="12"/>
    </row>
    <row r="402" spans="1:3" ht="69.95" customHeight="1" thickBot="1">
      <c r="A402" s="11"/>
      <c r="B402" s="17" t="s">
        <v>31</v>
      </c>
      <c r="C402" s="18"/>
    </row>
    <row r="403" spans="1:3" ht="50.1" customHeight="1">
      <c r="A403" s="10"/>
      <c r="B403" s="24" t="s">
        <v>2</v>
      </c>
      <c r="C403" s="25" t="str">
        <f>IF(応募者入力!$F$45="","",応募者入力!$B$45)</f>
        <v/>
      </c>
    </row>
    <row r="404" spans="1:3" ht="50.1" customHeight="1">
      <c r="A404" s="10"/>
      <c r="B404" s="26" t="s">
        <v>32</v>
      </c>
      <c r="C404" s="27" t="str">
        <f>IF(応募者入力!$F$45="","","(大垣消防組合)")</f>
        <v/>
      </c>
    </row>
    <row r="405" spans="1:3" ht="50.1" customHeight="1">
      <c r="A405" s="10"/>
      <c r="B405" s="28" t="s">
        <v>3</v>
      </c>
      <c r="C405" s="39" t="str">
        <f>IF(応募者入力!$F$45="","",応募者入力!$C$45)</f>
        <v/>
      </c>
    </row>
    <row r="406" spans="1:3" ht="50.1" customHeight="1">
      <c r="A406" s="10"/>
      <c r="B406" s="26" t="s">
        <v>33</v>
      </c>
      <c r="C406" s="40"/>
    </row>
    <row r="407" spans="1:3" ht="50.1" customHeight="1">
      <c r="A407" s="10"/>
      <c r="B407" s="29" t="s">
        <v>5</v>
      </c>
      <c r="C407" s="30" t="str">
        <f>IF(応募者入力!$F$45="","",IFERROR(MID(応募者入力!$E$45,2,1)&amp;"年生",""))</f>
        <v/>
      </c>
    </row>
    <row r="408" spans="1:3" ht="39.950000000000003" customHeight="1">
      <c r="A408" s="10"/>
      <c r="B408" s="28" t="s">
        <v>34</v>
      </c>
      <c r="C408" s="31" t="str">
        <f>IF(応募者入力!$F$45="","",応募者入力!$G$45)</f>
        <v/>
      </c>
    </row>
    <row r="409" spans="1:3" ht="60" customHeight="1" thickBot="1">
      <c r="A409" s="10"/>
      <c r="B409" s="32" t="s">
        <v>6</v>
      </c>
      <c r="C409" s="33" t="str">
        <f>IF(応募者入力!$F$45="","",応募者入力!$F$45)</f>
        <v/>
      </c>
    </row>
    <row r="410" spans="1:3" ht="14.25" customHeight="1">
      <c r="A410" s="10"/>
      <c r="B410" s="13"/>
      <c r="C410" s="13"/>
    </row>
    <row r="411" spans="1:3" ht="13.5" customHeight="1">
      <c r="A411" s="43"/>
      <c r="B411" s="42"/>
      <c r="C411" s="12"/>
    </row>
    <row r="412" spans="1:3" ht="69.95" customHeight="1" thickBot="1">
      <c r="A412" s="11"/>
      <c r="B412" s="17" t="s">
        <v>31</v>
      </c>
      <c r="C412" s="18"/>
    </row>
    <row r="413" spans="1:3" ht="50.1" customHeight="1">
      <c r="A413" s="10"/>
      <c r="B413" s="24" t="s">
        <v>2</v>
      </c>
      <c r="C413" s="25" t="str">
        <f>IF(応募者入力!$F$46="","",応募者入力!$B$46)</f>
        <v/>
      </c>
    </row>
    <row r="414" spans="1:3" ht="50.1" customHeight="1">
      <c r="A414" s="10"/>
      <c r="B414" s="26" t="s">
        <v>32</v>
      </c>
      <c r="C414" s="27" t="str">
        <f>IF(応募者入力!$F$46="","","(大垣消防組合)")</f>
        <v/>
      </c>
    </row>
    <row r="415" spans="1:3" ht="50.1" customHeight="1">
      <c r="A415" s="10"/>
      <c r="B415" s="28" t="s">
        <v>3</v>
      </c>
      <c r="C415" s="39" t="str">
        <f>IF(応募者入力!$F$46="","",応募者入力!$C$46)</f>
        <v/>
      </c>
    </row>
    <row r="416" spans="1:3" ht="50.1" customHeight="1">
      <c r="A416" s="10"/>
      <c r="B416" s="26" t="s">
        <v>33</v>
      </c>
      <c r="C416" s="40"/>
    </row>
    <row r="417" spans="1:3" ht="50.1" customHeight="1">
      <c r="A417" s="10"/>
      <c r="B417" s="29" t="s">
        <v>5</v>
      </c>
      <c r="C417" s="30" t="str">
        <f>IF(応募者入力!$F$46="","",IFERROR(MID(応募者入力!$E$46,2,1)&amp;"年生",""))</f>
        <v/>
      </c>
    </row>
    <row r="418" spans="1:3" ht="39.950000000000003" customHeight="1">
      <c r="A418" s="10"/>
      <c r="B418" s="28" t="s">
        <v>34</v>
      </c>
      <c r="C418" s="31" t="str">
        <f>IF(応募者入力!$F$46="","",応募者入力!$G$46)</f>
        <v/>
      </c>
    </row>
    <row r="419" spans="1:3" ht="60" customHeight="1" thickBot="1">
      <c r="A419" s="10"/>
      <c r="B419" s="32" t="s">
        <v>6</v>
      </c>
      <c r="C419" s="33" t="str">
        <f>IF(応募者入力!$F$46="","",応募者入力!$F$46)</f>
        <v/>
      </c>
    </row>
    <row r="420" spans="1:3" ht="14.25" customHeight="1">
      <c r="A420" s="10"/>
      <c r="B420" s="13"/>
      <c r="C420" s="13"/>
    </row>
    <row r="421" spans="1:3" ht="13.5" customHeight="1">
      <c r="A421" s="43"/>
      <c r="B421" s="42"/>
      <c r="C421" s="12"/>
    </row>
    <row r="422" spans="1:3" ht="69.95" customHeight="1" thickBot="1">
      <c r="A422" s="11"/>
      <c r="B422" s="17" t="s">
        <v>31</v>
      </c>
      <c r="C422" s="18"/>
    </row>
    <row r="423" spans="1:3" ht="50.1" customHeight="1">
      <c r="A423" s="10"/>
      <c r="B423" s="24" t="s">
        <v>2</v>
      </c>
      <c r="C423" s="25" t="str">
        <f>IF(応募者入力!$F$47="","",応募者入力!$B$47)</f>
        <v/>
      </c>
    </row>
    <row r="424" spans="1:3" ht="50.1" customHeight="1">
      <c r="A424" s="10"/>
      <c r="B424" s="26" t="s">
        <v>32</v>
      </c>
      <c r="C424" s="27" t="str">
        <f>IF(応募者入力!$F$47="","","(大垣消防組合)")</f>
        <v/>
      </c>
    </row>
    <row r="425" spans="1:3" ht="50.1" customHeight="1">
      <c r="A425" s="10"/>
      <c r="B425" s="28" t="s">
        <v>3</v>
      </c>
      <c r="C425" s="39" t="str">
        <f>IF(応募者入力!$F$47="","",応募者入力!$C$47)</f>
        <v/>
      </c>
    </row>
    <row r="426" spans="1:3" ht="50.1" customHeight="1">
      <c r="A426" s="10"/>
      <c r="B426" s="26" t="s">
        <v>33</v>
      </c>
      <c r="C426" s="40"/>
    </row>
    <row r="427" spans="1:3" ht="50.1" customHeight="1">
      <c r="A427" s="10"/>
      <c r="B427" s="29" t="s">
        <v>5</v>
      </c>
      <c r="C427" s="30" t="str">
        <f>IF(応募者入力!$F$47="","",IFERROR(MID(応募者入力!$E$47,2,1)&amp;"年生",""))</f>
        <v/>
      </c>
    </row>
    <row r="428" spans="1:3" ht="39.950000000000003" customHeight="1">
      <c r="A428" s="10"/>
      <c r="B428" s="28" t="s">
        <v>34</v>
      </c>
      <c r="C428" s="31" t="str">
        <f>IF(応募者入力!$F$47="","",応募者入力!$G$47)</f>
        <v/>
      </c>
    </row>
    <row r="429" spans="1:3" ht="60" customHeight="1" thickBot="1">
      <c r="A429" s="10"/>
      <c r="B429" s="32" t="s">
        <v>6</v>
      </c>
      <c r="C429" s="33" t="str">
        <f>IF(応募者入力!$F$47="","",応募者入力!$F$47)</f>
        <v/>
      </c>
    </row>
    <row r="430" spans="1:3" ht="14.25" customHeight="1">
      <c r="A430" s="10"/>
      <c r="B430" s="13"/>
      <c r="C430" s="13"/>
    </row>
    <row r="431" spans="1:3" ht="13.5" customHeight="1">
      <c r="A431" s="43"/>
      <c r="B431" s="42"/>
      <c r="C431" s="12"/>
    </row>
    <row r="432" spans="1:3" ht="69.95" customHeight="1" thickBot="1">
      <c r="A432" s="11"/>
      <c r="B432" s="17" t="s">
        <v>31</v>
      </c>
      <c r="C432" s="18"/>
    </row>
    <row r="433" spans="1:3" ht="50.1" customHeight="1">
      <c r="A433" s="10"/>
      <c r="B433" s="24" t="s">
        <v>2</v>
      </c>
      <c r="C433" s="25" t="str">
        <f>IF(応募者入力!$F$48="","",応募者入力!$B$48)</f>
        <v/>
      </c>
    </row>
    <row r="434" spans="1:3" ht="50.1" customHeight="1">
      <c r="A434" s="10"/>
      <c r="B434" s="26" t="s">
        <v>32</v>
      </c>
      <c r="C434" s="27" t="str">
        <f>IF(応募者入力!$F$48="","","(大垣消防組合)")</f>
        <v/>
      </c>
    </row>
    <row r="435" spans="1:3" ht="50.1" customHeight="1">
      <c r="A435" s="10"/>
      <c r="B435" s="28" t="s">
        <v>3</v>
      </c>
      <c r="C435" s="39" t="str">
        <f>IF(応募者入力!$F$48="","",応募者入力!$C$48)</f>
        <v/>
      </c>
    </row>
    <row r="436" spans="1:3" ht="50.1" customHeight="1">
      <c r="A436" s="10"/>
      <c r="B436" s="26" t="s">
        <v>33</v>
      </c>
      <c r="C436" s="40"/>
    </row>
    <row r="437" spans="1:3" ht="50.1" customHeight="1">
      <c r="A437" s="10"/>
      <c r="B437" s="29" t="s">
        <v>5</v>
      </c>
      <c r="C437" s="30" t="str">
        <f>IF(応募者入力!$F$48="","",IFERROR(MID(応募者入力!$E$48,2,1)&amp;"年生",""))</f>
        <v/>
      </c>
    </row>
    <row r="438" spans="1:3" ht="39.950000000000003" customHeight="1">
      <c r="A438" s="10"/>
      <c r="B438" s="28" t="s">
        <v>34</v>
      </c>
      <c r="C438" s="31" t="str">
        <f>IF(応募者入力!$F$48="","",応募者入力!$G$48)</f>
        <v/>
      </c>
    </row>
    <row r="439" spans="1:3" ht="60" customHeight="1" thickBot="1">
      <c r="A439" s="10"/>
      <c r="B439" s="32" t="s">
        <v>6</v>
      </c>
      <c r="C439" s="33" t="str">
        <f>IF(応募者入力!$F$48="","",応募者入力!$F$48)</f>
        <v/>
      </c>
    </row>
    <row r="440" spans="1:3" ht="14.25" customHeight="1">
      <c r="A440" s="10"/>
      <c r="B440" s="13"/>
      <c r="C440" s="13"/>
    </row>
    <row r="441" spans="1:3" ht="13.5" customHeight="1">
      <c r="A441" s="43"/>
      <c r="B441" s="42"/>
      <c r="C441" s="12"/>
    </row>
    <row r="442" spans="1:3" ht="69.95" customHeight="1" thickBot="1">
      <c r="A442" s="11"/>
      <c r="B442" s="17" t="s">
        <v>31</v>
      </c>
      <c r="C442" s="18"/>
    </row>
    <row r="443" spans="1:3" ht="50.1" customHeight="1">
      <c r="A443" s="10"/>
      <c r="B443" s="24" t="s">
        <v>2</v>
      </c>
      <c r="C443" s="25" t="str">
        <f>IF(応募者入力!$F$49="","",応募者入力!$B$49)</f>
        <v/>
      </c>
    </row>
    <row r="444" spans="1:3" ht="50.1" customHeight="1">
      <c r="A444" s="10"/>
      <c r="B444" s="26" t="s">
        <v>32</v>
      </c>
      <c r="C444" s="27" t="str">
        <f>IF(応募者入力!$F$49="","","(大垣消防組合)")</f>
        <v/>
      </c>
    </row>
    <row r="445" spans="1:3" ht="50.1" customHeight="1">
      <c r="A445" s="10"/>
      <c r="B445" s="28" t="s">
        <v>3</v>
      </c>
      <c r="C445" s="39" t="str">
        <f>IF(応募者入力!$F$49="","",応募者入力!$C$49)</f>
        <v/>
      </c>
    </row>
    <row r="446" spans="1:3" ht="50.1" customHeight="1">
      <c r="A446" s="10"/>
      <c r="B446" s="26" t="s">
        <v>33</v>
      </c>
      <c r="C446" s="40"/>
    </row>
    <row r="447" spans="1:3" ht="50.1" customHeight="1">
      <c r="A447" s="10"/>
      <c r="B447" s="29" t="s">
        <v>5</v>
      </c>
      <c r="C447" s="30" t="str">
        <f>IF(応募者入力!$F$49="","",IFERROR(MID(応募者入力!$E$49,2,1)&amp;"年生",""))</f>
        <v/>
      </c>
    </row>
    <row r="448" spans="1:3" ht="39.950000000000003" customHeight="1">
      <c r="A448" s="10"/>
      <c r="B448" s="28" t="s">
        <v>34</v>
      </c>
      <c r="C448" s="31" t="str">
        <f>IF(応募者入力!$F$49="","",応募者入力!$G$49)</f>
        <v/>
      </c>
    </row>
    <row r="449" spans="1:3" ht="60" customHeight="1" thickBot="1">
      <c r="A449" s="10"/>
      <c r="B449" s="32" t="s">
        <v>6</v>
      </c>
      <c r="C449" s="33" t="str">
        <f>IF(応募者入力!$F$49="","",応募者入力!$F$49)</f>
        <v/>
      </c>
    </row>
    <row r="450" spans="1:3" ht="14.25" customHeight="1">
      <c r="A450" s="10"/>
      <c r="B450" s="13"/>
      <c r="C450" s="13"/>
    </row>
    <row r="451" spans="1:3" ht="13.5" customHeight="1">
      <c r="A451" s="43"/>
      <c r="B451" s="42"/>
      <c r="C451" s="12"/>
    </row>
    <row r="452" spans="1:3" ht="69.95" customHeight="1" thickBot="1">
      <c r="A452" s="11"/>
      <c r="B452" s="17" t="s">
        <v>31</v>
      </c>
      <c r="C452" s="18"/>
    </row>
    <row r="453" spans="1:3" ht="50.1" customHeight="1">
      <c r="A453" s="10"/>
      <c r="B453" s="24" t="s">
        <v>2</v>
      </c>
      <c r="C453" s="25" t="str">
        <f>IF(応募者入力!$F$50="","",応募者入力!$B$50)</f>
        <v/>
      </c>
    </row>
    <row r="454" spans="1:3" ht="50.1" customHeight="1">
      <c r="A454" s="10"/>
      <c r="B454" s="26" t="s">
        <v>32</v>
      </c>
      <c r="C454" s="27" t="str">
        <f>IF(応募者入力!$F$50="","","(大垣消防組合)")</f>
        <v/>
      </c>
    </row>
    <row r="455" spans="1:3" ht="50.1" customHeight="1">
      <c r="A455" s="10"/>
      <c r="B455" s="28" t="s">
        <v>3</v>
      </c>
      <c r="C455" s="39" t="str">
        <f>IF(応募者入力!$F$50="","",応募者入力!$C$50)</f>
        <v/>
      </c>
    </row>
    <row r="456" spans="1:3" ht="50.1" customHeight="1">
      <c r="A456" s="10"/>
      <c r="B456" s="26" t="s">
        <v>33</v>
      </c>
      <c r="C456" s="40"/>
    </row>
    <row r="457" spans="1:3" ht="50.1" customHeight="1">
      <c r="A457" s="10"/>
      <c r="B457" s="29" t="s">
        <v>5</v>
      </c>
      <c r="C457" s="30" t="str">
        <f>IF(応募者入力!$F$50="","",IFERROR(MID(応募者入力!$E$50,2,1)&amp;"年生",""))</f>
        <v/>
      </c>
    </row>
    <row r="458" spans="1:3" ht="39.950000000000003" customHeight="1">
      <c r="A458" s="10"/>
      <c r="B458" s="28" t="s">
        <v>34</v>
      </c>
      <c r="C458" s="31" t="str">
        <f>IF(応募者入力!$F$50="","",応募者入力!$G$50)</f>
        <v/>
      </c>
    </row>
    <row r="459" spans="1:3" ht="60" customHeight="1" thickBot="1">
      <c r="A459" s="10"/>
      <c r="B459" s="32" t="s">
        <v>6</v>
      </c>
      <c r="C459" s="33" t="str">
        <f>IF(応募者入力!$F$50="","",応募者入力!$F$50)</f>
        <v/>
      </c>
    </row>
    <row r="460" spans="1:3" ht="14.25" customHeight="1">
      <c r="A460" s="10"/>
      <c r="B460" s="13"/>
      <c r="C460" s="13"/>
    </row>
    <row r="461" spans="1:3" ht="13.5" customHeight="1">
      <c r="A461" s="43"/>
      <c r="B461" s="42"/>
      <c r="C461" s="12"/>
    </row>
    <row r="462" spans="1:3" ht="69.95" customHeight="1" thickBot="1">
      <c r="A462" s="11"/>
      <c r="B462" s="17" t="s">
        <v>31</v>
      </c>
      <c r="C462" s="18"/>
    </row>
    <row r="463" spans="1:3" ht="50.1" customHeight="1">
      <c r="A463" s="10"/>
      <c r="B463" s="24" t="s">
        <v>2</v>
      </c>
      <c r="C463" s="25" t="str">
        <f>IF(応募者入力!$F$51="","",応募者入力!$B$51)</f>
        <v/>
      </c>
    </row>
    <row r="464" spans="1:3" ht="50.1" customHeight="1">
      <c r="A464" s="10"/>
      <c r="B464" s="26" t="s">
        <v>32</v>
      </c>
      <c r="C464" s="27" t="str">
        <f>IF(応募者入力!$F$51="","","(大垣消防組合)")</f>
        <v/>
      </c>
    </row>
    <row r="465" spans="1:3" ht="50.1" customHeight="1">
      <c r="A465" s="10"/>
      <c r="B465" s="28" t="s">
        <v>3</v>
      </c>
      <c r="C465" s="39" t="str">
        <f>IF(応募者入力!$F$51="","",応募者入力!$C$51)</f>
        <v/>
      </c>
    </row>
    <row r="466" spans="1:3" ht="50.1" customHeight="1">
      <c r="A466" s="10"/>
      <c r="B466" s="26" t="s">
        <v>33</v>
      </c>
      <c r="C466" s="40"/>
    </row>
    <row r="467" spans="1:3" ht="50.1" customHeight="1">
      <c r="A467" s="10"/>
      <c r="B467" s="29" t="s">
        <v>5</v>
      </c>
      <c r="C467" s="30" t="str">
        <f>IF(応募者入力!$F$51="","",IFERROR(MID(応募者入力!$E$51,2,1)&amp;"年生",""))</f>
        <v/>
      </c>
    </row>
    <row r="468" spans="1:3" ht="39.950000000000003" customHeight="1">
      <c r="A468" s="10"/>
      <c r="B468" s="28" t="s">
        <v>34</v>
      </c>
      <c r="C468" s="31" t="str">
        <f>IF(応募者入力!$F$51="","",応募者入力!$G$51)</f>
        <v/>
      </c>
    </row>
    <row r="469" spans="1:3" ht="60" customHeight="1" thickBot="1">
      <c r="A469" s="10"/>
      <c r="B469" s="32" t="s">
        <v>6</v>
      </c>
      <c r="C469" s="33" t="str">
        <f>IF(応募者入力!$F$51="","",応募者入力!$F$51)</f>
        <v/>
      </c>
    </row>
    <row r="470" spans="1:3" ht="14.25" customHeight="1">
      <c r="A470" s="10"/>
      <c r="B470" s="13"/>
      <c r="C470" s="13"/>
    </row>
    <row r="471" spans="1:3" ht="13.5" customHeight="1">
      <c r="A471" s="43"/>
      <c r="B471" s="42"/>
      <c r="C471" s="12"/>
    </row>
    <row r="472" spans="1:3" ht="69.95" customHeight="1" thickBot="1">
      <c r="A472" s="11"/>
      <c r="B472" s="17" t="s">
        <v>31</v>
      </c>
      <c r="C472" s="18"/>
    </row>
    <row r="473" spans="1:3" ht="50.1" customHeight="1">
      <c r="A473" s="10"/>
      <c r="B473" s="24" t="s">
        <v>2</v>
      </c>
      <c r="C473" s="25" t="str">
        <f>IF(応募者入力!$F$52="","",応募者入力!$B$52)</f>
        <v/>
      </c>
    </row>
    <row r="474" spans="1:3" ht="50.1" customHeight="1">
      <c r="A474" s="10"/>
      <c r="B474" s="26" t="s">
        <v>32</v>
      </c>
      <c r="C474" s="27" t="str">
        <f>IF(応募者入力!$F$52="","","(大垣消防組合)")</f>
        <v/>
      </c>
    </row>
    <row r="475" spans="1:3" ht="50.1" customHeight="1">
      <c r="A475" s="10"/>
      <c r="B475" s="28" t="s">
        <v>3</v>
      </c>
      <c r="C475" s="39" t="str">
        <f>IF(応募者入力!$F$52="","",応募者入力!$C$52)</f>
        <v/>
      </c>
    </row>
    <row r="476" spans="1:3" ht="50.1" customHeight="1">
      <c r="A476" s="10"/>
      <c r="B476" s="26" t="s">
        <v>33</v>
      </c>
      <c r="C476" s="40"/>
    </row>
    <row r="477" spans="1:3" ht="50.1" customHeight="1">
      <c r="A477" s="10"/>
      <c r="B477" s="29" t="s">
        <v>5</v>
      </c>
      <c r="C477" s="30" t="str">
        <f>IF(応募者入力!$F$52="","",IFERROR(MID(応募者入力!$E$52,2,1)&amp;"年生",""))</f>
        <v/>
      </c>
    </row>
    <row r="478" spans="1:3" ht="39.950000000000003" customHeight="1">
      <c r="A478" s="10"/>
      <c r="B478" s="28" t="s">
        <v>34</v>
      </c>
      <c r="C478" s="31" t="str">
        <f>IF(応募者入力!$F$52="","",応募者入力!$G$52)</f>
        <v/>
      </c>
    </row>
    <row r="479" spans="1:3" ht="60" customHeight="1" thickBot="1">
      <c r="A479" s="10"/>
      <c r="B479" s="32" t="s">
        <v>6</v>
      </c>
      <c r="C479" s="33" t="str">
        <f>IF(応募者入力!$F$52="","",応募者入力!$F$52)</f>
        <v/>
      </c>
    </row>
    <row r="480" spans="1:3" ht="14.25" customHeight="1">
      <c r="A480" s="10"/>
      <c r="B480" s="13"/>
      <c r="C480" s="13"/>
    </row>
    <row r="481" spans="1:3" ht="13.5" customHeight="1">
      <c r="A481" s="43"/>
      <c r="B481" s="42"/>
      <c r="C481" s="12"/>
    </row>
    <row r="482" spans="1:3" ht="69.95" customHeight="1" thickBot="1">
      <c r="A482" s="11"/>
      <c r="B482" s="17" t="s">
        <v>31</v>
      </c>
      <c r="C482" s="18"/>
    </row>
    <row r="483" spans="1:3" ht="50.1" customHeight="1">
      <c r="A483" s="10"/>
      <c r="B483" s="24" t="s">
        <v>2</v>
      </c>
      <c r="C483" s="25" t="str">
        <f>IF(応募者入力!$F$53="","",応募者入力!$B$53)</f>
        <v/>
      </c>
    </row>
    <row r="484" spans="1:3" ht="50.1" customHeight="1">
      <c r="A484" s="10"/>
      <c r="B484" s="26" t="s">
        <v>32</v>
      </c>
      <c r="C484" s="27" t="str">
        <f>IF(応募者入力!$F$53="","","(大垣消防組合)")</f>
        <v/>
      </c>
    </row>
    <row r="485" spans="1:3" ht="50.1" customHeight="1">
      <c r="A485" s="10"/>
      <c r="B485" s="28" t="s">
        <v>3</v>
      </c>
      <c r="C485" s="39" t="str">
        <f>IF(応募者入力!$F$53="","",応募者入力!$C$53)</f>
        <v/>
      </c>
    </row>
    <row r="486" spans="1:3" ht="50.1" customHeight="1">
      <c r="A486" s="10"/>
      <c r="B486" s="26" t="s">
        <v>33</v>
      </c>
      <c r="C486" s="40"/>
    </row>
    <row r="487" spans="1:3" ht="50.1" customHeight="1">
      <c r="A487" s="10"/>
      <c r="B487" s="29" t="s">
        <v>5</v>
      </c>
      <c r="C487" s="30" t="str">
        <f>IF(応募者入力!$F$53="","",IFERROR(MID(応募者入力!$E$53,2,1)&amp;"年生",""))</f>
        <v/>
      </c>
    </row>
    <row r="488" spans="1:3" ht="39.950000000000003" customHeight="1">
      <c r="A488" s="10"/>
      <c r="B488" s="28" t="s">
        <v>34</v>
      </c>
      <c r="C488" s="31" t="str">
        <f>IF(応募者入力!$F$53="","",応募者入力!$G$53)</f>
        <v/>
      </c>
    </row>
    <row r="489" spans="1:3" ht="60" customHeight="1" thickBot="1">
      <c r="A489" s="10"/>
      <c r="B489" s="32" t="s">
        <v>6</v>
      </c>
      <c r="C489" s="33" t="str">
        <f>IF(応募者入力!$F$53="","",応募者入力!$F$53)</f>
        <v/>
      </c>
    </row>
    <row r="490" spans="1:3" ht="14.25" customHeight="1">
      <c r="A490" s="10"/>
      <c r="B490" s="13"/>
      <c r="C490" s="13"/>
    </row>
    <row r="491" spans="1:3" ht="13.5" customHeight="1">
      <c r="A491" s="43"/>
      <c r="B491" s="42"/>
      <c r="C491" s="12"/>
    </row>
    <row r="492" spans="1:3" ht="69.95" customHeight="1" thickBot="1">
      <c r="A492" s="11"/>
      <c r="B492" s="17" t="s">
        <v>31</v>
      </c>
      <c r="C492" s="18"/>
    </row>
    <row r="493" spans="1:3" ht="50.1" customHeight="1">
      <c r="A493" s="10"/>
      <c r="B493" s="24" t="s">
        <v>2</v>
      </c>
      <c r="C493" s="25" t="str">
        <f>IF(応募者入力!$F$54="","",応募者入力!$B$54)</f>
        <v/>
      </c>
    </row>
    <row r="494" spans="1:3" ht="50.1" customHeight="1">
      <c r="A494" s="10"/>
      <c r="B494" s="26" t="s">
        <v>32</v>
      </c>
      <c r="C494" s="27" t="str">
        <f>IF(応募者入力!$F$54="","","(大垣消防組合)")</f>
        <v/>
      </c>
    </row>
    <row r="495" spans="1:3" ht="50.1" customHeight="1">
      <c r="A495" s="10"/>
      <c r="B495" s="28" t="s">
        <v>3</v>
      </c>
      <c r="C495" s="39" t="str">
        <f>IF(応募者入力!$F$54="","",応募者入力!$C$54)</f>
        <v/>
      </c>
    </row>
    <row r="496" spans="1:3" ht="50.1" customHeight="1">
      <c r="A496" s="10"/>
      <c r="B496" s="26" t="s">
        <v>33</v>
      </c>
      <c r="C496" s="40"/>
    </row>
    <row r="497" spans="1:3" ht="50.1" customHeight="1">
      <c r="A497" s="10"/>
      <c r="B497" s="29" t="s">
        <v>5</v>
      </c>
      <c r="C497" s="30" t="str">
        <f>IF(応募者入力!$F$54="","",IFERROR(MID(応募者入力!$E$54,2,1)&amp;"年生",""))</f>
        <v/>
      </c>
    </row>
    <row r="498" spans="1:3" ht="39.950000000000003" customHeight="1">
      <c r="A498" s="10"/>
      <c r="B498" s="28" t="s">
        <v>34</v>
      </c>
      <c r="C498" s="31" t="str">
        <f>IF(応募者入力!$F$54="","",応募者入力!$G$54)</f>
        <v/>
      </c>
    </row>
    <row r="499" spans="1:3" ht="60" customHeight="1" thickBot="1">
      <c r="A499" s="10"/>
      <c r="B499" s="32" t="s">
        <v>6</v>
      </c>
      <c r="C499" s="33" t="str">
        <f>IF(応募者入力!$F$54="","",応募者入力!$F$54)</f>
        <v/>
      </c>
    </row>
    <row r="500" spans="1:3" ht="14.25" customHeight="1">
      <c r="A500" s="10"/>
      <c r="B500" s="13"/>
      <c r="C500" s="13"/>
    </row>
    <row r="501" spans="1:3" ht="13.5" customHeight="1">
      <c r="A501" s="43"/>
      <c r="B501" s="42"/>
      <c r="C501" s="12"/>
    </row>
    <row r="502" spans="1:3" ht="69.95" customHeight="1">
      <c r="A502" s="11"/>
      <c r="B502" s="17" t="s">
        <v>31</v>
      </c>
      <c r="C502" s="18"/>
    </row>
    <row r="503" spans="1:3" ht="50.1" customHeight="1">
      <c r="A503" s="10"/>
      <c r="B503" s="24" t="s">
        <v>2</v>
      </c>
      <c r="C503" s="25" t="str">
        <f>IF(応募者入力!$F$55="","",応募者入力!$B$55)</f>
        <v/>
      </c>
    </row>
    <row r="504" spans="1:3" ht="50.1" customHeight="1">
      <c r="A504" s="10"/>
      <c r="B504" s="26" t="s">
        <v>32</v>
      </c>
      <c r="C504" s="27" t="str">
        <f>IF(応募者入力!$F$55="","","(大垣消防組合)")</f>
        <v/>
      </c>
    </row>
    <row r="505" spans="1:3" ht="50.1" customHeight="1">
      <c r="A505" s="10"/>
      <c r="B505" s="28" t="s">
        <v>3</v>
      </c>
      <c r="C505" s="39" t="str">
        <f>IF(応募者入力!$F$55="","",応募者入力!$C$55)</f>
        <v/>
      </c>
    </row>
    <row r="506" spans="1:3" ht="50.1" customHeight="1">
      <c r="A506" s="10"/>
      <c r="B506" s="26" t="s">
        <v>33</v>
      </c>
      <c r="C506" s="40"/>
    </row>
    <row r="507" spans="1:3" ht="50.1" customHeight="1">
      <c r="A507" s="10"/>
      <c r="B507" s="29" t="s">
        <v>5</v>
      </c>
      <c r="C507" s="30" t="str">
        <f>IF(応募者入力!$F$55="","",IFERROR(MID(応募者入力!$E$55,2,1)&amp;"年生",""))</f>
        <v/>
      </c>
    </row>
    <row r="508" spans="1:3" ht="39.950000000000003" customHeight="1">
      <c r="A508" s="10"/>
      <c r="B508" s="28" t="s">
        <v>34</v>
      </c>
      <c r="C508" s="31" t="str">
        <f>IF(応募者入力!$F$55="","",応募者入力!$G$55)</f>
        <v/>
      </c>
    </row>
    <row r="509" spans="1:3" ht="60" customHeight="1">
      <c r="A509" s="10"/>
      <c r="B509" s="32" t="s">
        <v>6</v>
      </c>
      <c r="C509" s="33" t="str">
        <f>IF(応募者入力!$F$55="","",応募者入力!$F$55)</f>
        <v/>
      </c>
    </row>
    <row r="510" spans="1:3" ht="14.25" customHeight="1">
      <c r="A510" s="10"/>
      <c r="B510" s="13"/>
      <c r="C510" s="13"/>
    </row>
    <row r="511" spans="1:3" ht="13.5" customHeight="1">
      <c r="A511" s="43"/>
      <c r="B511" s="42"/>
      <c r="C511" s="12"/>
    </row>
    <row r="512" spans="1:3" ht="69.95" customHeight="1">
      <c r="A512" s="11"/>
      <c r="B512" s="17" t="s">
        <v>31</v>
      </c>
      <c r="C512" s="18"/>
    </row>
    <row r="513" spans="1:3" ht="50.1" customHeight="1">
      <c r="A513" s="10"/>
      <c r="B513" s="24" t="s">
        <v>2</v>
      </c>
      <c r="C513" s="25" t="str">
        <f>IF(応募者入力!$F$56="","",応募者入力!$B$56)</f>
        <v/>
      </c>
    </row>
    <row r="514" spans="1:3" ht="50.1" customHeight="1">
      <c r="A514" s="10"/>
      <c r="B514" s="26" t="s">
        <v>32</v>
      </c>
      <c r="C514" s="27" t="str">
        <f>IF(応募者入力!$F$56="","","(大垣消防組合)")</f>
        <v/>
      </c>
    </row>
    <row r="515" spans="1:3" ht="50.1" customHeight="1">
      <c r="A515" s="10"/>
      <c r="B515" s="28" t="s">
        <v>3</v>
      </c>
      <c r="C515" s="39" t="str">
        <f>IF(応募者入力!$F$56="","",応募者入力!$C$56)</f>
        <v/>
      </c>
    </row>
    <row r="516" spans="1:3" ht="50.1" customHeight="1">
      <c r="A516" s="10"/>
      <c r="B516" s="26" t="s">
        <v>33</v>
      </c>
      <c r="C516" s="40"/>
    </row>
    <row r="517" spans="1:3" ht="50.1" customHeight="1">
      <c r="A517" s="10"/>
      <c r="B517" s="29" t="s">
        <v>5</v>
      </c>
      <c r="C517" s="30" t="str">
        <f>IF(応募者入力!$F$56="","",IFERROR(MID(応募者入力!$E$56,2,1)&amp;"年生",""))</f>
        <v/>
      </c>
    </row>
    <row r="518" spans="1:3" ht="39.950000000000003" customHeight="1">
      <c r="A518" s="10"/>
      <c r="B518" s="28" t="s">
        <v>34</v>
      </c>
      <c r="C518" s="31" t="str">
        <f>IF(応募者入力!$F$56="","",応募者入力!$G$56)</f>
        <v/>
      </c>
    </row>
    <row r="519" spans="1:3" ht="60" customHeight="1">
      <c r="A519" s="10"/>
      <c r="B519" s="32" t="s">
        <v>6</v>
      </c>
      <c r="C519" s="33" t="str">
        <f>IF(応募者入力!$F$56="","",応募者入力!$F$56)</f>
        <v/>
      </c>
    </row>
    <row r="520" spans="1:3" ht="14.25" customHeight="1">
      <c r="A520" s="10"/>
      <c r="B520" s="13"/>
      <c r="C520" s="13"/>
    </row>
    <row r="521" spans="1:3" ht="13.5" customHeight="1">
      <c r="A521" s="43"/>
      <c r="B521" s="42"/>
      <c r="C521" s="12"/>
    </row>
    <row r="522" spans="1:3" ht="69.95" customHeight="1">
      <c r="A522" s="11"/>
      <c r="B522" s="17" t="s">
        <v>31</v>
      </c>
      <c r="C522" s="18"/>
    </row>
    <row r="523" spans="1:3" ht="50.1" customHeight="1">
      <c r="A523" s="10"/>
      <c r="B523" s="24" t="s">
        <v>2</v>
      </c>
      <c r="C523" s="25" t="str">
        <f>IF(応募者入力!$F$57="","",応募者入力!$B$57)</f>
        <v/>
      </c>
    </row>
    <row r="524" spans="1:3" ht="50.1" customHeight="1">
      <c r="A524" s="10"/>
      <c r="B524" s="26" t="s">
        <v>32</v>
      </c>
      <c r="C524" s="27" t="str">
        <f>IF(応募者入力!$F$57="","","(大垣消防組合)")</f>
        <v/>
      </c>
    </row>
    <row r="525" spans="1:3" ht="50.1" customHeight="1">
      <c r="A525" s="10"/>
      <c r="B525" s="28" t="s">
        <v>3</v>
      </c>
      <c r="C525" s="39" t="str">
        <f>IF(応募者入力!$F$57="","",応募者入力!$C$57)</f>
        <v/>
      </c>
    </row>
    <row r="526" spans="1:3" ht="50.1" customHeight="1">
      <c r="A526" s="10"/>
      <c r="B526" s="26" t="s">
        <v>33</v>
      </c>
      <c r="C526" s="40"/>
    </row>
    <row r="527" spans="1:3" ht="50.1" customHeight="1">
      <c r="A527" s="10"/>
      <c r="B527" s="29" t="s">
        <v>5</v>
      </c>
      <c r="C527" s="30" t="str">
        <f>IF(応募者入力!$F$57="","",IFERROR(MID(応募者入力!$E$57,2,1)&amp;"年生",""))</f>
        <v/>
      </c>
    </row>
    <row r="528" spans="1:3" ht="39.950000000000003" customHeight="1">
      <c r="A528" s="10"/>
      <c r="B528" s="28" t="s">
        <v>34</v>
      </c>
      <c r="C528" s="31" t="str">
        <f>IF(応募者入力!$F$57="","",応募者入力!$G$57)</f>
        <v/>
      </c>
    </row>
    <row r="529" spans="1:3" ht="60" customHeight="1">
      <c r="A529" s="10"/>
      <c r="B529" s="32" t="s">
        <v>6</v>
      </c>
      <c r="C529" s="33" t="str">
        <f>IF(応募者入力!$F$57="","",応募者入力!$F$57)</f>
        <v/>
      </c>
    </row>
    <row r="530" spans="1:3" ht="14.25" customHeight="1">
      <c r="A530" s="10"/>
      <c r="B530" s="13"/>
      <c r="C530" s="13"/>
    </row>
    <row r="531" spans="1:3" ht="13.5" customHeight="1">
      <c r="A531" s="43"/>
      <c r="B531" s="42"/>
      <c r="C531" s="12"/>
    </row>
    <row r="532" spans="1:3" ht="69.95" customHeight="1">
      <c r="A532" s="11"/>
      <c r="B532" s="17" t="s">
        <v>31</v>
      </c>
      <c r="C532" s="18"/>
    </row>
    <row r="533" spans="1:3" ht="50.1" customHeight="1">
      <c r="A533" s="10"/>
      <c r="B533" s="24" t="s">
        <v>2</v>
      </c>
      <c r="C533" s="25" t="str">
        <f>IF(応募者入力!$F$58="","",応募者入力!$B$58)</f>
        <v/>
      </c>
    </row>
    <row r="534" spans="1:3" ht="50.1" customHeight="1">
      <c r="A534" s="10"/>
      <c r="B534" s="26" t="s">
        <v>32</v>
      </c>
      <c r="C534" s="27" t="str">
        <f>IF(応募者入力!$F$58="","","(大垣消防組合)")</f>
        <v/>
      </c>
    </row>
    <row r="535" spans="1:3" ht="50.1" customHeight="1">
      <c r="A535" s="10"/>
      <c r="B535" s="28" t="s">
        <v>3</v>
      </c>
      <c r="C535" s="39" t="str">
        <f>IF(応募者入力!$F$58="","",応募者入力!$C$58)</f>
        <v/>
      </c>
    </row>
    <row r="536" spans="1:3" ht="50.1" customHeight="1">
      <c r="A536" s="10"/>
      <c r="B536" s="26" t="s">
        <v>33</v>
      </c>
      <c r="C536" s="40"/>
    </row>
    <row r="537" spans="1:3" ht="50.1" customHeight="1">
      <c r="A537" s="10"/>
      <c r="B537" s="29" t="s">
        <v>5</v>
      </c>
      <c r="C537" s="30" t="str">
        <f>IF(応募者入力!$F$58="","",IFERROR(MID(応募者入力!$E$58,2,1)&amp;"年生",""))</f>
        <v/>
      </c>
    </row>
    <row r="538" spans="1:3" ht="39.950000000000003" customHeight="1">
      <c r="A538" s="10"/>
      <c r="B538" s="28" t="s">
        <v>34</v>
      </c>
      <c r="C538" s="31" t="str">
        <f>IF(応募者入力!$F$58="","",応募者入力!$G$58)</f>
        <v/>
      </c>
    </row>
    <row r="539" spans="1:3" ht="60" customHeight="1">
      <c r="A539" s="10"/>
      <c r="B539" s="32" t="s">
        <v>6</v>
      </c>
      <c r="C539" s="33" t="str">
        <f>IF(応募者入力!$F$58="","",応募者入力!$F$58)</f>
        <v/>
      </c>
    </row>
    <row r="540" spans="1:3" ht="14.25" customHeight="1">
      <c r="A540" s="10"/>
      <c r="B540" s="13"/>
      <c r="C540" s="13"/>
    </row>
    <row r="541" spans="1:3" ht="13.5" customHeight="1">
      <c r="A541" s="43"/>
      <c r="B541" s="42"/>
      <c r="C541" s="12"/>
    </row>
    <row r="542" spans="1:3" ht="69.95" customHeight="1">
      <c r="A542" s="11"/>
      <c r="B542" s="17" t="s">
        <v>31</v>
      </c>
      <c r="C542" s="18"/>
    </row>
    <row r="543" spans="1:3" ht="50.1" customHeight="1">
      <c r="A543" s="10"/>
      <c r="B543" s="24" t="s">
        <v>2</v>
      </c>
      <c r="C543" s="25" t="str">
        <f>IF(応募者入力!$F$59="","",応募者入力!$B$59)</f>
        <v/>
      </c>
    </row>
    <row r="544" spans="1:3" ht="50.1" customHeight="1">
      <c r="A544" s="10"/>
      <c r="B544" s="26" t="s">
        <v>32</v>
      </c>
      <c r="C544" s="27" t="str">
        <f>IF(応募者入力!$F$59="","","(大垣消防組合)")</f>
        <v/>
      </c>
    </row>
    <row r="545" spans="1:3" ht="50.1" customHeight="1">
      <c r="A545" s="10"/>
      <c r="B545" s="28" t="s">
        <v>3</v>
      </c>
      <c r="C545" s="39" t="str">
        <f>IF(応募者入力!$F$59="","",応募者入力!$C$59)</f>
        <v/>
      </c>
    </row>
    <row r="546" spans="1:3" ht="50.1" customHeight="1">
      <c r="A546" s="10"/>
      <c r="B546" s="26" t="s">
        <v>33</v>
      </c>
      <c r="C546" s="40"/>
    </row>
    <row r="547" spans="1:3" ht="50.1" customHeight="1">
      <c r="A547" s="10"/>
      <c r="B547" s="29" t="s">
        <v>5</v>
      </c>
      <c r="C547" s="30" t="str">
        <f>IF(応募者入力!$F$59="","",IFERROR(MID(応募者入力!$E$59,2,1)&amp;"年生",""))</f>
        <v/>
      </c>
    </row>
    <row r="548" spans="1:3" ht="39.950000000000003" customHeight="1">
      <c r="A548" s="10"/>
      <c r="B548" s="28" t="s">
        <v>34</v>
      </c>
      <c r="C548" s="31" t="str">
        <f>IF(応募者入力!$F$59="","",応募者入力!$G$59)</f>
        <v/>
      </c>
    </row>
    <row r="549" spans="1:3" ht="60" customHeight="1">
      <c r="A549" s="10"/>
      <c r="B549" s="32" t="s">
        <v>6</v>
      </c>
      <c r="C549" s="33" t="str">
        <f>IF(応募者入力!$F$59="","",応募者入力!$F$59)</f>
        <v/>
      </c>
    </row>
    <row r="550" spans="1:3" ht="14.25" customHeight="1">
      <c r="A550" s="10"/>
      <c r="B550" s="13"/>
      <c r="C550" s="13"/>
    </row>
    <row r="551" spans="1:3" ht="13.5" customHeight="1">
      <c r="A551" s="43"/>
      <c r="B551" s="42"/>
      <c r="C551" s="12"/>
    </row>
    <row r="552" spans="1:3" ht="69.95" customHeight="1">
      <c r="A552" s="11"/>
      <c r="B552" s="17" t="s">
        <v>31</v>
      </c>
      <c r="C552" s="18"/>
    </row>
    <row r="553" spans="1:3" ht="50.1" customHeight="1">
      <c r="A553" s="10"/>
      <c r="B553" s="24" t="s">
        <v>2</v>
      </c>
      <c r="C553" s="25" t="str">
        <f>IF(応募者入力!$F$60="","",応募者入力!$B$60)</f>
        <v/>
      </c>
    </row>
    <row r="554" spans="1:3" ht="50.1" customHeight="1">
      <c r="A554" s="10"/>
      <c r="B554" s="26" t="s">
        <v>32</v>
      </c>
      <c r="C554" s="27" t="str">
        <f>IF(応募者入力!$F$60="","","(大垣消防組合)")</f>
        <v/>
      </c>
    </row>
    <row r="555" spans="1:3" ht="50.1" customHeight="1">
      <c r="A555" s="10"/>
      <c r="B555" s="28" t="s">
        <v>3</v>
      </c>
      <c r="C555" s="39" t="str">
        <f>IF(応募者入力!$F$60="","",応募者入力!$C$60)</f>
        <v/>
      </c>
    </row>
    <row r="556" spans="1:3" ht="50.1" customHeight="1">
      <c r="A556" s="10"/>
      <c r="B556" s="26" t="s">
        <v>33</v>
      </c>
      <c r="C556" s="40"/>
    </row>
    <row r="557" spans="1:3" ht="50.1" customHeight="1">
      <c r="A557" s="10"/>
      <c r="B557" s="29" t="s">
        <v>5</v>
      </c>
      <c r="C557" s="30" t="str">
        <f>IF(応募者入力!$F$60="","",IFERROR(MID(応募者入力!$E$60,2,1)&amp;"年生",""))</f>
        <v/>
      </c>
    </row>
    <row r="558" spans="1:3" ht="39.950000000000003" customHeight="1">
      <c r="A558" s="10"/>
      <c r="B558" s="28" t="s">
        <v>34</v>
      </c>
      <c r="C558" s="31" t="str">
        <f>IF(応募者入力!$F$60="","",応募者入力!$G$60)</f>
        <v/>
      </c>
    </row>
    <row r="559" spans="1:3" ht="60" customHeight="1">
      <c r="A559" s="10"/>
      <c r="B559" s="32" t="s">
        <v>6</v>
      </c>
      <c r="C559" s="33" t="str">
        <f>IF(応募者入力!$F$60="","",応募者入力!$F$60)</f>
        <v/>
      </c>
    </row>
    <row r="560" spans="1:3" ht="14.25" customHeight="1">
      <c r="A560" s="10"/>
      <c r="B560" s="13"/>
      <c r="C560" s="13"/>
    </row>
    <row r="561" spans="1:3" ht="13.5" customHeight="1">
      <c r="A561" s="43"/>
      <c r="B561" s="42"/>
      <c r="C561" s="12"/>
    </row>
    <row r="562" spans="1:3" ht="69.95" customHeight="1">
      <c r="A562" s="11"/>
      <c r="B562" s="17" t="s">
        <v>31</v>
      </c>
      <c r="C562" s="18"/>
    </row>
    <row r="563" spans="1:3" ht="50.1" customHeight="1">
      <c r="A563" s="10"/>
      <c r="B563" s="24" t="s">
        <v>2</v>
      </c>
      <c r="C563" s="25" t="str">
        <f>IF(応募者入力!$F$61="","",応募者入力!$B$61)</f>
        <v/>
      </c>
    </row>
    <row r="564" spans="1:3" ht="50.1" customHeight="1">
      <c r="A564" s="10"/>
      <c r="B564" s="26" t="s">
        <v>32</v>
      </c>
      <c r="C564" s="27" t="str">
        <f>IF(応募者入力!$F$61="","","(大垣消防組合)")</f>
        <v/>
      </c>
    </row>
    <row r="565" spans="1:3" ht="50.1" customHeight="1">
      <c r="A565" s="10"/>
      <c r="B565" s="28" t="s">
        <v>3</v>
      </c>
      <c r="C565" s="39" t="str">
        <f>IF(応募者入力!$F$61="","",応募者入力!$C$61)</f>
        <v/>
      </c>
    </row>
    <row r="566" spans="1:3" ht="50.1" customHeight="1">
      <c r="A566" s="10"/>
      <c r="B566" s="26" t="s">
        <v>33</v>
      </c>
      <c r="C566" s="40"/>
    </row>
    <row r="567" spans="1:3" ht="50.1" customHeight="1">
      <c r="A567" s="10"/>
      <c r="B567" s="29" t="s">
        <v>5</v>
      </c>
      <c r="C567" s="30" t="str">
        <f>IF(応募者入力!$F$61="","",IFERROR(MID(応募者入力!$E$61,2,1)&amp;"年生",""))</f>
        <v/>
      </c>
    </row>
    <row r="568" spans="1:3" ht="39.950000000000003" customHeight="1">
      <c r="A568" s="10"/>
      <c r="B568" s="28" t="s">
        <v>34</v>
      </c>
      <c r="C568" s="31" t="str">
        <f>IF(応募者入力!$F$61="","",応募者入力!$G$61)</f>
        <v/>
      </c>
    </row>
    <row r="569" spans="1:3" ht="60" customHeight="1">
      <c r="A569" s="10"/>
      <c r="B569" s="32" t="s">
        <v>6</v>
      </c>
      <c r="C569" s="33" t="str">
        <f>IF(応募者入力!$F$61="","",応募者入力!$F$61)</f>
        <v/>
      </c>
    </row>
    <row r="570" spans="1:3" ht="14.25" customHeight="1">
      <c r="A570" s="10"/>
      <c r="B570" s="13"/>
      <c r="C570" s="13"/>
    </row>
    <row r="571" spans="1:3" ht="13.5" customHeight="1">
      <c r="A571" s="43"/>
      <c r="B571" s="42"/>
      <c r="C571" s="12"/>
    </row>
    <row r="572" spans="1:3" ht="69.95" customHeight="1">
      <c r="A572" s="11"/>
      <c r="B572" s="17" t="s">
        <v>31</v>
      </c>
      <c r="C572" s="18"/>
    </row>
    <row r="573" spans="1:3" ht="50.1" customHeight="1">
      <c r="A573" s="10"/>
      <c r="B573" s="24" t="s">
        <v>2</v>
      </c>
      <c r="C573" s="25" t="str">
        <f>IF(応募者入力!$F$62="","",応募者入力!$B$62)</f>
        <v/>
      </c>
    </row>
    <row r="574" spans="1:3" ht="50.1" customHeight="1">
      <c r="A574" s="10"/>
      <c r="B574" s="26" t="s">
        <v>32</v>
      </c>
      <c r="C574" s="27" t="str">
        <f>IF(応募者入力!$F$62="","","(大垣消防組合)")</f>
        <v/>
      </c>
    </row>
    <row r="575" spans="1:3" ht="50.1" customHeight="1">
      <c r="A575" s="10"/>
      <c r="B575" s="28" t="s">
        <v>3</v>
      </c>
      <c r="C575" s="39" t="str">
        <f>IF(応募者入力!$F$62="","",応募者入力!$C$62)</f>
        <v/>
      </c>
    </row>
    <row r="576" spans="1:3" ht="50.1" customHeight="1">
      <c r="A576" s="10"/>
      <c r="B576" s="26" t="s">
        <v>33</v>
      </c>
      <c r="C576" s="40"/>
    </row>
    <row r="577" spans="1:3" ht="50.1" customHeight="1">
      <c r="A577" s="10"/>
      <c r="B577" s="29" t="s">
        <v>5</v>
      </c>
      <c r="C577" s="30" t="str">
        <f>IF(応募者入力!$F$62="","",IFERROR(MID(応募者入力!$E$62,2,1)&amp;"年生",""))</f>
        <v/>
      </c>
    </row>
    <row r="578" spans="1:3" ht="39.950000000000003" customHeight="1">
      <c r="A578" s="10"/>
      <c r="B578" s="28" t="s">
        <v>34</v>
      </c>
      <c r="C578" s="31" t="str">
        <f>IF(応募者入力!$F$62="","",応募者入力!$G$62)</f>
        <v/>
      </c>
    </row>
    <row r="579" spans="1:3" ht="60" customHeight="1">
      <c r="A579" s="10"/>
      <c r="B579" s="32" t="s">
        <v>6</v>
      </c>
      <c r="C579" s="33" t="str">
        <f>IF(応募者入力!$F$62="","",応募者入力!$F$62)</f>
        <v/>
      </c>
    </row>
    <row r="580" spans="1:3" ht="14.25" customHeight="1">
      <c r="A580" s="10"/>
      <c r="B580" s="13"/>
      <c r="C580" s="13"/>
    </row>
    <row r="581" spans="1:3" ht="13.5" customHeight="1">
      <c r="A581" s="43"/>
      <c r="B581" s="42"/>
      <c r="C581" s="12"/>
    </row>
    <row r="582" spans="1:3" ht="69.95" customHeight="1">
      <c r="A582" s="11"/>
      <c r="B582" s="17" t="s">
        <v>31</v>
      </c>
      <c r="C582" s="18"/>
    </row>
    <row r="583" spans="1:3" ht="50.1" customHeight="1">
      <c r="A583" s="10"/>
      <c r="B583" s="24" t="s">
        <v>2</v>
      </c>
      <c r="C583" s="25" t="str">
        <f>IF(応募者入力!$F$63="","",応募者入力!$B$63)</f>
        <v/>
      </c>
    </row>
    <row r="584" spans="1:3" ht="50.1" customHeight="1">
      <c r="A584" s="10"/>
      <c r="B584" s="26" t="s">
        <v>32</v>
      </c>
      <c r="C584" s="27" t="str">
        <f>IF(応募者入力!$F$63="","","(大垣消防組合)")</f>
        <v/>
      </c>
    </row>
    <row r="585" spans="1:3" ht="50.1" customHeight="1">
      <c r="A585" s="10"/>
      <c r="B585" s="28" t="s">
        <v>3</v>
      </c>
      <c r="C585" s="39" t="str">
        <f>IF(応募者入力!$F$63="","",応募者入力!$C$63)</f>
        <v/>
      </c>
    </row>
    <row r="586" spans="1:3" ht="50.1" customHeight="1">
      <c r="A586" s="10"/>
      <c r="B586" s="26" t="s">
        <v>33</v>
      </c>
      <c r="C586" s="40"/>
    </row>
    <row r="587" spans="1:3" ht="50.1" customHeight="1">
      <c r="A587" s="10"/>
      <c r="B587" s="29" t="s">
        <v>5</v>
      </c>
      <c r="C587" s="30" t="str">
        <f>IF(応募者入力!$F$63="","",IFERROR(MID(応募者入力!$E$63,2,1)&amp;"年生",""))</f>
        <v/>
      </c>
    </row>
    <row r="588" spans="1:3" ht="39.950000000000003" customHeight="1">
      <c r="A588" s="10"/>
      <c r="B588" s="28" t="s">
        <v>34</v>
      </c>
      <c r="C588" s="31" t="str">
        <f>IF(応募者入力!$F$63="","",応募者入力!$G$63)</f>
        <v/>
      </c>
    </row>
    <row r="589" spans="1:3" ht="60" customHeight="1">
      <c r="A589" s="10"/>
      <c r="B589" s="32" t="s">
        <v>6</v>
      </c>
      <c r="C589" s="33" t="str">
        <f>IF(応募者入力!$F$63="","",応募者入力!$F$63)</f>
        <v/>
      </c>
    </row>
    <row r="590" spans="1:3" ht="14.25" customHeight="1">
      <c r="A590" s="10"/>
      <c r="B590" s="13"/>
      <c r="C590" s="13"/>
    </row>
    <row r="591" spans="1:3" ht="13.5" customHeight="1">
      <c r="A591" s="43"/>
      <c r="B591" s="42"/>
      <c r="C591" s="12"/>
    </row>
    <row r="592" spans="1:3" ht="69.95" customHeight="1">
      <c r="A592" s="11"/>
      <c r="B592" s="17" t="s">
        <v>31</v>
      </c>
      <c r="C592" s="18"/>
    </row>
    <row r="593" spans="1:3" ht="50.1" customHeight="1">
      <c r="A593" s="10"/>
      <c r="B593" s="24" t="s">
        <v>2</v>
      </c>
      <c r="C593" s="25" t="str">
        <f>IF(応募者入力!$F$64="","",応募者入力!$B$64)</f>
        <v/>
      </c>
    </row>
    <row r="594" spans="1:3" ht="50.1" customHeight="1">
      <c r="A594" s="10"/>
      <c r="B594" s="26" t="s">
        <v>32</v>
      </c>
      <c r="C594" s="27" t="str">
        <f>IF(応募者入力!$F$64="","","(大垣消防組合)")</f>
        <v/>
      </c>
    </row>
    <row r="595" spans="1:3" ht="50.1" customHeight="1">
      <c r="A595" s="10"/>
      <c r="B595" s="28" t="s">
        <v>3</v>
      </c>
      <c r="C595" s="39" t="str">
        <f>IF(応募者入力!$F$64="","",応募者入力!$C$64)</f>
        <v/>
      </c>
    </row>
    <row r="596" spans="1:3" ht="50.1" customHeight="1">
      <c r="A596" s="10"/>
      <c r="B596" s="26" t="s">
        <v>33</v>
      </c>
      <c r="C596" s="40"/>
    </row>
    <row r="597" spans="1:3" ht="50.1" customHeight="1">
      <c r="A597" s="10"/>
      <c r="B597" s="29" t="s">
        <v>5</v>
      </c>
      <c r="C597" s="30" t="str">
        <f>IF(応募者入力!$F$64="","",IFERROR(MID(応募者入力!$E$64,2,1)&amp;"年生",""))</f>
        <v/>
      </c>
    </row>
    <row r="598" spans="1:3" ht="39.950000000000003" customHeight="1">
      <c r="A598" s="10"/>
      <c r="B598" s="28" t="s">
        <v>34</v>
      </c>
      <c r="C598" s="31" t="str">
        <f>IF(応募者入力!$F$64="","",応募者入力!$G$64)</f>
        <v/>
      </c>
    </row>
    <row r="599" spans="1:3" ht="60" customHeight="1">
      <c r="A599" s="10"/>
      <c r="B599" s="32" t="s">
        <v>6</v>
      </c>
      <c r="C599" s="33" t="str">
        <f>IF(応募者入力!$F$64="","",応募者入力!$F$64)</f>
        <v/>
      </c>
    </row>
    <row r="600" spans="1:3" ht="14.25" customHeight="1">
      <c r="A600" s="10"/>
      <c r="B600" s="13"/>
      <c r="C600" s="13"/>
    </row>
    <row r="601" spans="1:3" ht="13.5" customHeight="1">
      <c r="A601" s="43"/>
      <c r="B601" s="42"/>
      <c r="C601" s="12"/>
    </row>
    <row r="602" spans="1:3" ht="69.95" customHeight="1">
      <c r="A602" s="11"/>
      <c r="B602" s="17" t="s">
        <v>31</v>
      </c>
      <c r="C602" s="18"/>
    </row>
    <row r="603" spans="1:3" ht="50.1" customHeight="1">
      <c r="A603" s="10"/>
      <c r="B603" s="24" t="s">
        <v>2</v>
      </c>
      <c r="C603" s="25" t="str">
        <f>IF(応募者入力!$F$65="","",応募者入力!$B$65)</f>
        <v/>
      </c>
    </row>
    <row r="604" spans="1:3" ht="50.1" customHeight="1">
      <c r="A604" s="10"/>
      <c r="B604" s="26" t="s">
        <v>32</v>
      </c>
      <c r="C604" s="27" t="str">
        <f>IF(応募者入力!$F$65="","","(大垣消防組合)")</f>
        <v/>
      </c>
    </row>
    <row r="605" spans="1:3" ht="50.1" customHeight="1">
      <c r="A605" s="10"/>
      <c r="B605" s="28" t="s">
        <v>3</v>
      </c>
      <c r="C605" s="39" t="str">
        <f>IF(応募者入力!$F$65="","",応募者入力!$C$65)</f>
        <v/>
      </c>
    </row>
    <row r="606" spans="1:3" ht="50.1" customHeight="1">
      <c r="A606" s="10"/>
      <c r="B606" s="26" t="s">
        <v>33</v>
      </c>
      <c r="C606" s="40"/>
    </row>
    <row r="607" spans="1:3" ht="50.1" customHeight="1">
      <c r="A607" s="10"/>
      <c r="B607" s="29" t="s">
        <v>5</v>
      </c>
      <c r="C607" s="30" t="str">
        <f>IF(応募者入力!$F$65="","",IFERROR(MID(応募者入力!$E$65,2,1)&amp;"年生",""))</f>
        <v/>
      </c>
    </row>
    <row r="608" spans="1:3" ht="39.950000000000003" customHeight="1">
      <c r="A608" s="10"/>
      <c r="B608" s="28" t="s">
        <v>34</v>
      </c>
      <c r="C608" s="31" t="str">
        <f>IF(応募者入力!$F$65="","",応募者入力!$G$65)</f>
        <v/>
      </c>
    </row>
    <row r="609" spans="1:3" ht="60" customHeight="1">
      <c r="A609" s="10"/>
      <c r="B609" s="32" t="s">
        <v>6</v>
      </c>
      <c r="C609" s="33" t="str">
        <f>IF(応募者入力!$F$65="","",応募者入力!$F$65)</f>
        <v/>
      </c>
    </row>
    <row r="610" spans="1:3" ht="14.25" customHeight="1">
      <c r="A610" s="10"/>
      <c r="B610" s="13"/>
      <c r="C610" s="13"/>
    </row>
    <row r="611" spans="1:3" ht="13.5" customHeight="1">
      <c r="A611" s="43"/>
      <c r="B611" s="42"/>
      <c r="C611" s="12"/>
    </row>
    <row r="612" spans="1:3" ht="69.95" customHeight="1">
      <c r="A612" s="11"/>
      <c r="B612" s="17" t="s">
        <v>31</v>
      </c>
      <c r="C612" s="18"/>
    </row>
    <row r="613" spans="1:3" ht="50.1" customHeight="1">
      <c r="A613" s="10"/>
      <c r="B613" s="24" t="s">
        <v>2</v>
      </c>
      <c r="C613" s="25" t="str">
        <f>IF(応募者入力!$F$66="","",応募者入力!$B$66)</f>
        <v/>
      </c>
    </row>
    <row r="614" spans="1:3" ht="50.1" customHeight="1">
      <c r="A614" s="10"/>
      <c r="B614" s="26" t="s">
        <v>32</v>
      </c>
      <c r="C614" s="27" t="str">
        <f>IF(応募者入力!$F$66="","","(大垣消防組合)")</f>
        <v/>
      </c>
    </row>
    <row r="615" spans="1:3" ht="50.1" customHeight="1">
      <c r="A615" s="10"/>
      <c r="B615" s="28" t="s">
        <v>3</v>
      </c>
      <c r="C615" s="39" t="str">
        <f>IF(応募者入力!$F$66="","",応募者入力!$C$66)</f>
        <v/>
      </c>
    </row>
    <row r="616" spans="1:3" ht="50.1" customHeight="1">
      <c r="A616" s="10"/>
      <c r="B616" s="26" t="s">
        <v>33</v>
      </c>
      <c r="C616" s="40"/>
    </row>
    <row r="617" spans="1:3" ht="50.1" customHeight="1">
      <c r="A617" s="10"/>
      <c r="B617" s="29" t="s">
        <v>5</v>
      </c>
      <c r="C617" s="30" t="str">
        <f>IF(応募者入力!$F$66="","",IFERROR(MID(応募者入力!$E$66,2,1)&amp;"年生",""))</f>
        <v/>
      </c>
    </row>
    <row r="618" spans="1:3" ht="39.950000000000003" customHeight="1">
      <c r="A618" s="10"/>
      <c r="B618" s="28" t="s">
        <v>34</v>
      </c>
      <c r="C618" s="31" t="str">
        <f>IF(応募者入力!$F$66="","",応募者入力!$G$66)</f>
        <v/>
      </c>
    </row>
    <row r="619" spans="1:3" ht="60" customHeight="1">
      <c r="A619" s="10"/>
      <c r="B619" s="32" t="s">
        <v>6</v>
      </c>
      <c r="C619" s="33" t="str">
        <f>IF(応募者入力!$F$66="","",応募者入力!$F$66)</f>
        <v/>
      </c>
    </row>
    <row r="620" spans="1:3" ht="14.25" customHeight="1">
      <c r="A620" s="10"/>
      <c r="B620" s="13"/>
      <c r="C620" s="13"/>
    </row>
    <row r="621" spans="1:3" ht="13.5" customHeight="1">
      <c r="A621" s="43"/>
      <c r="B621" s="42"/>
      <c r="C621" s="12"/>
    </row>
    <row r="622" spans="1:3" ht="69.95" customHeight="1">
      <c r="A622" s="11"/>
      <c r="B622" s="17" t="s">
        <v>31</v>
      </c>
      <c r="C622" s="18"/>
    </row>
    <row r="623" spans="1:3" ht="50.1" customHeight="1">
      <c r="A623" s="10"/>
      <c r="B623" s="24" t="s">
        <v>2</v>
      </c>
      <c r="C623" s="25" t="str">
        <f>IF(応募者入力!$F$67="","",応募者入力!$B$67)</f>
        <v/>
      </c>
    </row>
    <row r="624" spans="1:3" ht="50.1" customHeight="1">
      <c r="A624" s="10"/>
      <c r="B624" s="26" t="s">
        <v>32</v>
      </c>
      <c r="C624" s="27" t="str">
        <f>IF(応募者入力!$F$67="","","(大垣消防組合)")</f>
        <v/>
      </c>
    </row>
    <row r="625" spans="1:3" ht="50.1" customHeight="1">
      <c r="A625" s="10"/>
      <c r="B625" s="28" t="s">
        <v>3</v>
      </c>
      <c r="C625" s="39" t="str">
        <f>IF(応募者入力!$F$67="","",応募者入力!$C$67)</f>
        <v/>
      </c>
    </row>
    <row r="626" spans="1:3" ht="50.1" customHeight="1">
      <c r="A626" s="10"/>
      <c r="B626" s="26" t="s">
        <v>33</v>
      </c>
      <c r="C626" s="40"/>
    </row>
    <row r="627" spans="1:3" ht="50.1" customHeight="1">
      <c r="A627" s="10"/>
      <c r="B627" s="29" t="s">
        <v>5</v>
      </c>
      <c r="C627" s="30" t="str">
        <f>IF(応募者入力!$F$67="","",IFERROR(MID(応募者入力!$E$67,2,1)&amp;"年生",""))</f>
        <v/>
      </c>
    </row>
    <row r="628" spans="1:3" ht="39.950000000000003" customHeight="1">
      <c r="A628" s="10"/>
      <c r="B628" s="28" t="s">
        <v>34</v>
      </c>
      <c r="C628" s="31" t="str">
        <f>IF(応募者入力!$F$67="","",応募者入力!$G$67)</f>
        <v/>
      </c>
    </row>
    <row r="629" spans="1:3" ht="60" customHeight="1">
      <c r="A629" s="10"/>
      <c r="B629" s="32" t="s">
        <v>6</v>
      </c>
      <c r="C629" s="33" t="str">
        <f>IF(応募者入力!$F$67="","",応募者入力!$F$67)</f>
        <v/>
      </c>
    </row>
    <row r="630" spans="1:3" ht="14.25" customHeight="1">
      <c r="A630" s="10"/>
      <c r="B630" s="13"/>
      <c r="C630" s="13"/>
    </row>
    <row r="631" spans="1:3" ht="13.5" customHeight="1">
      <c r="A631" s="43"/>
      <c r="B631" s="42"/>
      <c r="C631" s="12"/>
    </row>
    <row r="632" spans="1:3" ht="69.95" customHeight="1">
      <c r="A632" s="11"/>
      <c r="B632" s="17" t="s">
        <v>31</v>
      </c>
      <c r="C632" s="18"/>
    </row>
    <row r="633" spans="1:3" ht="50.1" customHeight="1">
      <c r="A633" s="10"/>
      <c r="B633" s="24" t="s">
        <v>2</v>
      </c>
      <c r="C633" s="25" t="str">
        <f>IF(応募者入力!$F$68="","",応募者入力!$B$68)</f>
        <v/>
      </c>
    </row>
    <row r="634" spans="1:3" ht="50.1" customHeight="1">
      <c r="A634" s="10"/>
      <c r="B634" s="26" t="s">
        <v>32</v>
      </c>
      <c r="C634" s="27" t="str">
        <f>IF(応募者入力!$F$68="","","(大垣消防組合)")</f>
        <v/>
      </c>
    </row>
    <row r="635" spans="1:3" ht="50.1" customHeight="1">
      <c r="A635" s="10"/>
      <c r="B635" s="28" t="s">
        <v>3</v>
      </c>
      <c r="C635" s="39" t="str">
        <f>IF(応募者入力!$F$68="","",応募者入力!$C$68)</f>
        <v/>
      </c>
    </row>
    <row r="636" spans="1:3" ht="50.1" customHeight="1">
      <c r="A636" s="10"/>
      <c r="B636" s="26" t="s">
        <v>33</v>
      </c>
      <c r="C636" s="40"/>
    </row>
    <row r="637" spans="1:3" ht="50.1" customHeight="1">
      <c r="A637" s="10"/>
      <c r="B637" s="29" t="s">
        <v>5</v>
      </c>
      <c r="C637" s="30" t="str">
        <f>IF(応募者入力!$F$68="","",IFERROR(MID(応募者入力!$E$68,2,1)&amp;"年生",""))</f>
        <v/>
      </c>
    </row>
    <row r="638" spans="1:3" ht="39.950000000000003" customHeight="1">
      <c r="A638" s="10"/>
      <c r="B638" s="28" t="s">
        <v>34</v>
      </c>
      <c r="C638" s="31" t="str">
        <f>IF(応募者入力!$F$68="","",応募者入力!$G$68)</f>
        <v/>
      </c>
    </row>
    <row r="639" spans="1:3" ht="60" customHeight="1">
      <c r="A639" s="10"/>
      <c r="B639" s="32" t="s">
        <v>6</v>
      </c>
      <c r="C639" s="33" t="str">
        <f>IF(応募者入力!$F$68="","",応募者入力!$F$68)</f>
        <v/>
      </c>
    </row>
    <row r="640" spans="1:3" ht="14.25" customHeight="1">
      <c r="A640" s="10"/>
      <c r="B640" s="13"/>
      <c r="C640" s="13"/>
    </row>
    <row r="641" spans="1:3" ht="13.5" customHeight="1">
      <c r="A641" s="43"/>
      <c r="B641" s="42"/>
      <c r="C641" s="12"/>
    </row>
    <row r="642" spans="1:3" ht="69.95" customHeight="1">
      <c r="A642" s="11"/>
      <c r="B642" s="17" t="s">
        <v>31</v>
      </c>
      <c r="C642" s="18"/>
    </row>
    <row r="643" spans="1:3" ht="50.1" customHeight="1">
      <c r="A643" s="10"/>
      <c r="B643" s="24" t="s">
        <v>2</v>
      </c>
      <c r="C643" s="25" t="str">
        <f>IF(応募者入力!$F$69="","",応募者入力!$B$69)</f>
        <v/>
      </c>
    </row>
    <row r="644" spans="1:3" ht="50.1" customHeight="1">
      <c r="A644" s="10"/>
      <c r="B644" s="26" t="s">
        <v>32</v>
      </c>
      <c r="C644" s="27" t="str">
        <f>IF(応募者入力!$F$69="","","(大垣消防組合)")</f>
        <v/>
      </c>
    </row>
    <row r="645" spans="1:3" ht="50.1" customHeight="1">
      <c r="A645" s="10"/>
      <c r="B645" s="28" t="s">
        <v>3</v>
      </c>
      <c r="C645" s="39" t="str">
        <f>IF(応募者入力!$F$69="","",応募者入力!$C$69)</f>
        <v/>
      </c>
    </row>
    <row r="646" spans="1:3" ht="50.1" customHeight="1">
      <c r="A646" s="10"/>
      <c r="B646" s="26" t="s">
        <v>33</v>
      </c>
      <c r="C646" s="40"/>
    </row>
    <row r="647" spans="1:3" ht="50.1" customHeight="1">
      <c r="A647" s="10"/>
      <c r="B647" s="29" t="s">
        <v>5</v>
      </c>
      <c r="C647" s="30" t="str">
        <f>IF(応募者入力!$F$69="","",IFERROR(MID(応募者入力!$E$69,2,1)&amp;"年生",""))</f>
        <v/>
      </c>
    </row>
    <row r="648" spans="1:3" ht="39.950000000000003" customHeight="1">
      <c r="A648" s="10"/>
      <c r="B648" s="28" t="s">
        <v>34</v>
      </c>
      <c r="C648" s="31" t="str">
        <f>IF(応募者入力!$F$69="","",応募者入力!$G$69)</f>
        <v/>
      </c>
    </row>
    <row r="649" spans="1:3" ht="60" customHeight="1">
      <c r="A649" s="10"/>
      <c r="B649" s="32" t="s">
        <v>6</v>
      </c>
      <c r="C649" s="33" t="str">
        <f>IF(応募者入力!$F$69="","",応募者入力!$F$69)</f>
        <v/>
      </c>
    </row>
    <row r="650" spans="1:3" ht="14.25" customHeight="1">
      <c r="A650" s="10"/>
      <c r="B650" s="13"/>
      <c r="C650" s="13"/>
    </row>
    <row r="651" spans="1:3" ht="13.5" customHeight="1">
      <c r="A651" s="43"/>
      <c r="B651" s="42"/>
      <c r="C651" s="12"/>
    </row>
    <row r="652" spans="1:3" ht="69.95" customHeight="1">
      <c r="A652" s="11"/>
      <c r="B652" s="17" t="s">
        <v>31</v>
      </c>
      <c r="C652" s="18"/>
    </row>
    <row r="653" spans="1:3" ht="50.1" customHeight="1">
      <c r="A653" s="10"/>
      <c r="B653" s="24" t="s">
        <v>2</v>
      </c>
      <c r="C653" s="25" t="str">
        <f>IF(応募者入力!$F$70="","",応募者入力!$B$70)</f>
        <v/>
      </c>
    </row>
    <row r="654" spans="1:3" ht="50.1" customHeight="1">
      <c r="A654" s="10"/>
      <c r="B654" s="26" t="s">
        <v>32</v>
      </c>
      <c r="C654" s="27" t="str">
        <f>IF(応募者入力!$F$70="","","(大垣消防組合)")</f>
        <v/>
      </c>
    </row>
    <row r="655" spans="1:3" ht="50.1" customHeight="1">
      <c r="A655" s="10"/>
      <c r="B655" s="28" t="s">
        <v>3</v>
      </c>
      <c r="C655" s="39" t="str">
        <f>IF(応募者入力!$F$70="","",応募者入力!$C$70)</f>
        <v/>
      </c>
    </row>
    <row r="656" spans="1:3" ht="50.1" customHeight="1">
      <c r="A656" s="10"/>
      <c r="B656" s="26" t="s">
        <v>33</v>
      </c>
      <c r="C656" s="40"/>
    </row>
    <row r="657" spans="1:3" ht="50.1" customHeight="1">
      <c r="A657" s="10"/>
      <c r="B657" s="29" t="s">
        <v>5</v>
      </c>
      <c r="C657" s="30" t="str">
        <f>IF(応募者入力!$F$70="","",IFERROR(MID(応募者入力!$E$70,2,1)&amp;"年生",""))</f>
        <v/>
      </c>
    </row>
    <row r="658" spans="1:3" ht="39.950000000000003" customHeight="1">
      <c r="A658" s="10"/>
      <c r="B658" s="28" t="s">
        <v>34</v>
      </c>
      <c r="C658" s="31" t="str">
        <f>IF(応募者入力!$F$70="","",応募者入力!$G$70)</f>
        <v/>
      </c>
    </row>
    <row r="659" spans="1:3" ht="60" customHeight="1">
      <c r="A659" s="10"/>
      <c r="B659" s="32" t="s">
        <v>6</v>
      </c>
      <c r="C659" s="33" t="str">
        <f>IF(応募者入力!$F$70="","",応募者入力!$F$70)</f>
        <v/>
      </c>
    </row>
    <row r="660" spans="1:3" ht="14.25" customHeight="1">
      <c r="A660" s="10"/>
      <c r="B660" s="13"/>
      <c r="C660" s="13"/>
    </row>
    <row r="661" spans="1:3" ht="13.5" customHeight="1">
      <c r="A661" s="43"/>
      <c r="B661" s="42"/>
      <c r="C661" s="12"/>
    </row>
    <row r="662" spans="1:3" ht="69.95" customHeight="1">
      <c r="A662" s="11"/>
      <c r="B662" s="17" t="s">
        <v>31</v>
      </c>
      <c r="C662" s="18"/>
    </row>
    <row r="663" spans="1:3" ht="50.1" customHeight="1">
      <c r="A663" s="10"/>
      <c r="B663" s="24" t="s">
        <v>2</v>
      </c>
      <c r="C663" s="25" t="str">
        <f>IF(応募者入力!$F$71="","",応募者入力!$B$71)</f>
        <v/>
      </c>
    </row>
    <row r="664" spans="1:3" ht="50.1" customHeight="1">
      <c r="A664" s="10"/>
      <c r="B664" s="26" t="s">
        <v>32</v>
      </c>
      <c r="C664" s="27" t="str">
        <f>IF(応募者入力!$F$71="","","(大垣消防組合)")</f>
        <v/>
      </c>
    </row>
    <row r="665" spans="1:3" ht="50.1" customHeight="1">
      <c r="A665" s="10"/>
      <c r="B665" s="28" t="s">
        <v>3</v>
      </c>
      <c r="C665" s="39" t="str">
        <f>IF(応募者入力!$F$71="","",応募者入力!$C$71)</f>
        <v/>
      </c>
    </row>
    <row r="666" spans="1:3" ht="50.1" customHeight="1">
      <c r="A666" s="10"/>
      <c r="B666" s="26" t="s">
        <v>33</v>
      </c>
      <c r="C666" s="40"/>
    </row>
    <row r="667" spans="1:3" ht="50.1" customHeight="1">
      <c r="A667" s="10"/>
      <c r="B667" s="29" t="s">
        <v>5</v>
      </c>
      <c r="C667" s="30" t="str">
        <f>IF(応募者入力!$F$71="","",IFERROR(MID(応募者入力!$E$71,2,1)&amp;"年生",""))</f>
        <v/>
      </c>
    </row>
    <row r="668" spans="1:3" ht="39.950000000000003" customHeight="1">
      <c r="A668" s="10"/>
      <c r="B668" s="28" t="s">
        <v>34</v>
      </c>
      <c r="C668" s="31" t="str">
        <f>IF(応募者入力!$F$71="","",応募者入力!$G$71)</f>
        <v/>
      </c>
    </row>
    <row r="669" spans="1:3" ht="60" customHeight="1">
      <c r="A669" s="10"/>
      <c r="B669" s="32" t="s">
        <v>6</v>
      </c>
      <c r="C669" s="33" t="str">
        <f>IF(応募者入力!$F$71="","",応募者入力!$F$71)</f>
        <v/>
      </c>
    </row>
    <row r="670" spans="1:3" ht="14.25" customHeight="1">
      <c r="A670" s="10"/>
      <c r="B670" s="13"/>
      <c r="C670" s="13"/>
    </row>
    <row r="671" spans="1:3" ht="13.5" customHeight="1">
      <c r="A671" s="43"/>
      <c r="B671" s="42"/>
      <c r="C671" s="12"/>
    </row>
    <row r="672" spans="1:3" ht="69.95" customHeight="1">
      <c r="A672" s="11"/>
      <c r="B672" s="17" t="s">
        <v>31</v>
      </c>
      <c r="C672" s="18"/>
    </row>
    <row r="673" spans="1:3" ht="50.1" customHeight="1">
      <c r="A673" s="10"/>
      <c r="B673" s="24" t="s">
        <v>2</v>
      </c>
      <c r="C673" s="25" t="str">
        <f>IF(応募者入力!$F$72="","",応募者入力!$B$72)</f>
        <v/>
      </c>
    </row>
    <row r="674" spans="1:3" ht="50.1" customHeight="1">
      <c r="A674" s="10"/>
      <c r="B674" s="26" t="s">
        <v>32</v>
      </c>
      <c r="C674" s="27" t="str">
        <f>IF(応募者入力!$F$72="","","(大垣消防組合)")</f>
        <v/>
      </c>
    </row>
    <row r="675" spans="1:3" ht="50.1" customHeight="1">
      <c r="A675" s="10"/>
      <c r="B675" s="28" t="s">
        <v>3</v>
      </c>
      <c r="C675" s="39" t="str">
        <f>IF(応募者入力!$F$72="","",応募者入力!$C$72)</f>
        <v/>
      </c>
    </row>
    <row r="676" spans="1:3" ht="50.1" customHeight="1">
      <c r="A676" s="10"/>
      <c r="B676" s="26" t="s">
        <v>33</v>
      </c>
      <c r="C676" s="40"/>
    </row>
    <row r="677" spans="1:3" ht="50.1" customHeight="1">
      <c r="A677" s="10"/>
      <c r="B677" s="29" t="s">
        <v>5</v>
      </c>
      <c r="C677" s="30" t="str">
        <f>IF(応募者入力!$F$72="","",IFERROR(MID(応募者入力!$E$72,2,1)&amp;"年生",""))</f>
        <v/>
      </c>
    </row>
    <row r="678" spans="1:3" ht="39.950000000000003" customHeight="1">
      <c r="A678" s="10"/>
      <c r="B678" s="28" t="s">
        <v>34</v>
      </c>
      <c r="C678" s="31" t="str">
        <f>IF(応募者入力!$F$72="","",応募者入力!$G$72)</f>
        <v/>
      </c>
    </row>
    <row r="679" spans="1:3" ht="60" customHeight="1">
      <c r="A679" s="10"/>
      <c r="B679" s="32" t="s">
        <v>6</v>
      </c>
      <c r="C679" s="33" t="str">
        <f>IF(応募者入力!$F$72="","",応募者入力!$F$72)</f>
        <v/>
      </c>
    </row>
    <row r="680" spans="1:3" ht="14.25" customHeight="1">
      <c r="A680" s="10"/>
      <c r="B680" s="13"/>
      <c r="C680" s="13"/>
    </row>
    <row r="681" spans="1:3" ht="13.5" customHeight="1">
      <c r="A681" s="43"/>
      <c r="B681" s="42"/>
      <c r="C681" s="12"/>
    </row>
    <row r="682" spans="1:3" ht="69.95" customHeight="1">
      <c r="A682" s="11"/>
      <c r="B682" s="17" t="s">
        <v>31</v>
      </c>
      <c r="C682" s="18"/>
    </row>
    <row r="683" spans="1:3" ht="50.1" customHeight="1">
      <c r="A683" s="10"/>
      <c r="B683" s="24" t="s">
        <v>2</v>
      </c>
      <c r="C683" s="25" t="str">
        <f>IF(応募者入力!$F$73="","",応募者入力!$B$73)</f>
        <v/>
      </c>
    </row>
    <row r="684" spans="1:3" ht="50.1" customHeight="1">
      <c r="A684" s="10"/>
      <c r="B684" s="26" t="s">
        <v>32</v>
      </c>
      <c r="C684" s="27" t="str">
        <f>IF(応募者入力!$F$73="","","(大垣消防組合)")</f>
        <v/>
      </c>
    </row>
    <row r="685" spans="1:3" ht="50.1" customHeight="1">
      <c r="A685" s="10"/>
      <c r="B685" s="28" t="s">
        <v>3</v>
      </c>
      <c r="C685" s="39" t="str">
        <f>IF(応募者入力!$F$73="","",応募者入力!$C$73)</f>
        <v/>
      </c>
    </row>
    <row r="686" spans="1:3" ht="50.1" customHeight="1">
      <c r="A686" s="10"/>
      <c r="B686" s="26" t="s">
        <v>33</v>
      </c>
      <c r="C686" s="40"/>
    </row>
    <row r="687" spans="1:3" ht="50.1" customHeight="1">
      <c r="A687" s="10"/>
      <c r="B687" s="29" t="s">
        <v>5</v>
      </c>
      <c r="C687" s="30" t="str">
        <f>IF(応募者入力!$F$73="","",IFERROR(MID(応募者入力!$E$73,2,1)&amp;"年生",""))</f>
        <v/>
      </c>
    </row>
    <row r="688" spans="1:3" ht="39.950000000000003" customHeight="1">
      <c r="A688" s="10"/>
      <c r="B688" s="28" t="s">
        <v>34</v>
      </c>
      <c r="C688" s="31" t="str">
        <f>IF(応募者入力!$F$73="","",応募者入力!$G$73)</f>
        <v/>
      </c>
    </row>
    <row r="689" spans="1:3" ht="60" customHeight="1">
      <c r="A689" s="10"/>
      <c r="B689" s="32" t="s">
        <v>6</v>
      </c>
      <c r="C689" s="33" t="str">
        <f>IF(応募者入力!$F$73="","",応募者入力!$F$73)</f>
        <v/>
      </c>
    </row>
    <row r="690" spans="1:3" ht="14.25" customHeight="1">
      <c r="A690" s="10"/>
      <c r="B690" s="13"/>
      <c r="C690" s="13"/>
    </row>
    <row r="691" spans="1:3" ht="13.5" customHeight="1">
      <c r="A691" s="43"/>
      <c r="B691" s="42"/>
      <c r="C691" s="12"/>
    </row>
    <row r="692" spans="1:3" ht="69.95" customHeight="1">
      <c r="A692" s="11"/>
      <c r="B692" s="17" t="s">
        <v>31</v>
      </c>
      <c r="C692" s="18"/>
    </row>
    <row r="693" spans="1:3" ht="50.1" customHeight="1">
      <c r="A693" s="10"/>
      <c r="B693" s="24" t="s">
        <v>2</v>
      </c>
      <c r="C693" s="25" t="str">
        <f>IF(応募者入力!$F$74="","",応募者入力!$B$74)</f>
        <v/>
      </c>
    </row>
    <row r="694" spans="1:3" ht="50.1" customHeight="1">
      <c r="A694" s="10"/>
      <c r="B694" s="26" t="s">
        <v>32</v>
      </c>
      <c r="C694" s="27" t="str">
        <f>IF(応募者入力!$F$74="","","(大垣消防組合)")</f>
        <v/>
      </c>
    </row>
    <row r="695" spans="1:3" ht="50.1" customHeight="1">
      <c r="A695" s="10"/>
      <c r="B695" s="28" t="s">
        <v>3</v>
      </c>
      <c r="C695" s="39" t="str">
        <f>IF(応募者入力!$F$74="","",応募者入力!$C$74)</f>
        <v/>
      </c>
    </row>
    <row r="696" spans="1:3" ht="50.1" customHeight="1">
      <c r="A696" s="10"/>
      <c r="B696" s="26" t="s">
        <v>33</v>
      </c>
      <c r="C696" s="40"/>
    </row>
    <row r="697" spans="1:3" ht="50.1" customHeight="1">
      <c r="A697" s="10"/>
      <c r="B697" s="29" t="s">
        <v>5</v>
      </c>
      <c r="C697" s="30" t="str">
        <f>IF(応募者入力!$F$74="","",IFERROR(MID(応募者入力!$E$74,2,1)&amp;"年生",""))</f>
        <v/>
      </c>
    </row>
    <row r="698" spans="1:3" ht="39.950000000000003" customHeight="1">
      <c r="A698" s="10"/>
      <c r="B698" s="28" t="s">
        <v>34</v>
      </c>
      <c r="C698" s="31" t="str">
        <f>IF(応募者入力!$F$74="","",応募者入力!$G$74)</f>
        <v/>
      </c>
    </row>
    <row r="699" spans="1:3" ht="60" customHeight="1">
      <c r="A699" s="10"/>
      <c r="B699" s="32" t="s">
        <v>6</v>
      </c>
      <c r="C699" s="33" t="str">
        <f>IF(応募者入力!$F$74="","",応募者入力!$F$74)</f>
        <v/>
      </c>
    </row>
    <row r="700" spans="1:3" ht="14.25" customHeight="1">
      <c r="A700" s="10"/>
      <c r="B700" s="13"/>
      <c r="C700" s="13"/>
    </row>
    <row r="701" spans="1:3" ht="13.5" customHeight="1">
      <c r="A701" s="43"/>
      <c r="B701" s="42"/>
      <c r="C701" s="12"/>
    </row>
    <row r="702" spans="1:3" ht="69.95" customHeight="1">
      <c r="A702" s="11"/>
      <c r="B702" s="17" t="s">
        <v>31</v>
      </c>
      <c r="C702" s="18"/>
    </row>
    <row r="703" spans="1:3" ht="50.1" customHeight="1">
      <c r="A703" s="10"/>
      <c r="B703" s="24" t="s">
        <v>2</v>
      </c>
      <c r="C703" s="25" t="str">
        <f>IF(応募者入力!$F$75="","",応募者入力!$B$75)</f>
        <v/>
      </c>
    </row>
    <row r="704" spans="1:3" ht="50.1" customHeight="1">
      <c r="A704" s="10"/>
      <c r="B704" s="26" t="s">
        <v>32</v>
      </c>
      <c r="C704" s="27" t="str">
        <f>IF(応募者入力!$F$75="","","(大垣消防組合)")</f>
        <v/>
      </c>
    </row>
    <row r="705" spans="1:3" ht="50.1" customHeight="1">
      <c r="A705" s="10"/>
      <c r="B705" s="28" t="s">
        <v>3</v>
      </c>
      <c r="C705" s="39" t="str">
        <f>IF(応募者入力!$F$75="","",応募者入力!$C$75)</f>
        <v/>
      </c>
    </row>
    <row r="706" spans="1:3" ht="50.1" customHeight="1">
      <c r="A706" s="10"/>
      <c r="B706" s="26" t="s">
        <v>33</v>
      </c>
      <c r="C706" s="40"/>
    </row>
    <row r="707" spans="1:3" ht="50.1" customHeight="1">
      <c r="A707" s="10"/>
      <c r="B707" s="29" t="s">
        <v>5</v>
      </c>
      <c r="C707" s="30" t="str">
        <f>IF(応募者入力!$F$75="","",IFERROR(MID(応募者入力!$E$75,2,1)&amp;"年生",""))</f>
        <v/>
      </c>
    </row>
    <row r="708" spans="1:3" ht="39.950000000000003" customHeight="1">
      <c r="A708" s="10"/>
      <c r="B708" s="28" t="s">
        <v>34</v>
      </c>
      <c r="C708" s="31" t="str">
        <f>IF(応募者入力!$F$75="","",応募者入力!$G$75)</f>
        <v/>
      </c>
    </row>
    <row r="709" spans="1:3" ht="60" customHeight="1">
      <c r="A709" s="10"/>
      <c r="B709" s="32" t="s">
        <v>6</v>
      </c>
      <c r="C709" s="33" t="str">
        <f>IF(応募者入力!$F$75="","",応募者入力!$F$75)</f>
        <v/>
      </c>
    </row>
    <row r="710" spans="1:3" ht="14.25" customHeight="1">
      <c r="A710" s="10"/>
      <c r="B710" s="13"/>
      <c r="C710" s="13"/>
    </row>
    <row r="711" spans="1:3" ht="13.5" customHeight="1">
      <c r="A711" s="43"/>
      <c r="B711" s="42"/>
      <c r="C711" s="12"/>
    </row>
    <row r="712" spans="1:3" ht="69.95" customHeight="1">
      <c r="A712" s="11"/>
      <c r="B712" s="17" t="s">
        <v>31</v>
      </c>
      <c r="C712" s="18"/>
    </row>
    <row r="713" spans="1:3" ht="50.1" customHeight="1">
      <c r="A713" s="10"/>
      <c r="B713" s="24" t="s">
        <v>2</v>
      </c>
      <c r="C713" s="25" t="str">
        <f>IF(応募者入力!$F$76="","",応募者入力!$B$76)</f>
        <v/>
      </c>
    </row>
    <row r="714" spans="1:3" ht="50.1" customHeight="1">
      <c r="A714" s="10"/>
      <c r="B714" s="26" t="s">
        <v>32</v>
      </c>
      <c r="C714" s="27" t="str">
        <f>IF(応募者入力!$F$76="","","(大垣消防組合)")</f>
        <v/>
      </c>
    </row>
    <row r="715" spans="1:3" ht="50.1" customHeight="1">
      <c r="A715" s="10"/>
      <c r="B715" s="28" t="s">
        <v>3</v>
      </c>
      <c r="C715" s="39" t="str">
        <f>IF(応募者入力!$F$76="","",応募者入力!$C$76)</f>
        <v/>
      </c>
    </row>
    <row r="716" spans="1:3" ht="50.1" customHeight="1">
      <c r="A716" s="10"/>
      <c r="B716" s="26" t="s">
        <v>33</v>
      </c>
      <c r="C716" s="40"/>
    </row>
    <row r="717" spans="1:3" ht="50.1" customHeight="1">
      <c r="A717" s="10"/>
      <c r="B717" s="29" t="s">
        <v>5</v>
      </c>
      <c r="C717" s="30" t="str">
        <f>IF(応募者入力!$F$76="","",IFERROR(MID(応募者入力!$E$76,2,1)&amp;"年生",""))</f>
        <v/>
      </c>
    </row>
    <row r="718" spans="1:3" ht="39.950000000000003" customHeight="1">
      <c r="A718" s="10"/>
      <c r="B718" s="28" t="s">
        <v>34</v>
      </c>
      <c r="C718" s="31" t="str">
        <f>IF(応募者入力!$F$76="","",応募者入力!$G$76)</f>
        <v/>
      </c>
    </row>
    <row r="719" spans="1:3" ht="60" customHeight="1">
      <c r="A719" s="10"/>
      <c r="B719" s="32" t="s">
        <v>6</v>
      </c>
      <c r="C719" s="33" t="str">
        <f>IF(応募者入力!$F$76="","",応募者入力!$F$76)</f>
        <v/>
      </c>
    </row>
    <row r="720" spans="1:3" ht="14.25" customHeight="1">
      <c r="A720" s="10"/>
      <c r="B720" s="13"/>
      <c r="C720" s="13"/>
    </row>
    <row r="721" spans="1:3" ht="13.5" customHeight="1">
      <c r="A721" s="43"/>
      <c r="B721" s="42"/>
      <c r="C721" s="12"/>
    </row>
    <row r="722" spans="1:3" ht="69.95" customHeight="1">
      <c r="A722" s="11"/>
      <c r="B722" s="17" t="s">
        <v>31</v>
      </c>
      <c r="C722" s="18"/>
    </row>
    <row r="723" spans="1:3" ht="50.1" customHeight="1">
      <c r="A723" s="10"/>
      <c r="B723" s="24" t="s">
        <v>2</v>
      </c>
      <c r="C723" s="25" t="str">
        <f>IF(応募者入力!$F$77="","",応募者入力!$B$77)</f>
        <v/>
      </c>
    </row>
    <row r="724" spans="1:3" ht="50.1" customHeight="1">
      <c r="A724" s="10"/>
      <c r="B724" s="26" t="s">
        <v>32</v>
      </c>
      <c r="C724" s="27" t="str">
        <f>IF(応募者入力!$F$77="","","(大垣消防組合)")</f>
        <v/>
      </c>
    </row>
    <row r="725" spans="1:3" ht="50.1" customHeight="1">
      <c r="A725" s="10"/>
      <c r="B725" s="28" t="s">
        <v>3</v>
      </c>
      <c r="C725" s="39" t="str">
        <f>IF(応募者入力!$F$77="","",応募者入力!$C$77)</f>
        <v/>
      </c>
    </row>
    <row r="726" spans="1:3" ht="50.1" customHeight="1">
      <c r="A726" s="10"/>
      <c r="B726" s="26" t="s">
        <v>33</v>
      </c>
      <c r="C726" s="40"/>
    </row>
    <row r="727" spans="1:3" ht="50.1" customHeight="1">
      <c r="A727" s="10"/>
      <c r="B727" s="29" t="s">
        <v>5</v>
      </c>
      <c r="C727" s="30" t="str">
        <f>IF(応募者入力!$F$77="","",IFERROR(MID(応募者入力!$E$77,2,1)&amp;"年生",""))</f>
        <v/>
      </c>
    </row>
    <row r="728" spans="1:3" ht="39.950000000000003" customHeight="1">
      <c r="A728" s="10"/>
      <c r="B728" s="28" t="s">
        <v>34</v>
      </c>
      <c r="C728" s="31" t="str">
        <f>IF(応募者入力!$F$77="","",応募者入力!$G$77)</f>
        <v/>
      </c>
    </row>
    <row r="729" spans="1:3" ht="60" customHeight="1">
      <c r="A729" s="10"/>
      <c r="B729" s="32" t="s">
        <v>6</v>
      </c>
      <c r="C729" s="33" t="str">
        <f>IF(応募者入力!$F$77="","",応募者入力!$F$77)</f>
        <v/>
      </c>
    </row>
    <row r="730" spans="1:3" ht="14.25" customHeight="1">
      <c r="A730" s="10"/>
      <c r="B730" s="13"/>
      <c r="C730" s="13"/>
    </row>
    <row r="731" spans="1:3" ht="13.5" customHeight="1">
      <c r="A731" s="43"/>
      <c r="B731" s="42"/>
      <c r="C731" s="12"/>
    </row>
    <row r="732" spans="1:3" ht="69.95" customHeight="1">
      <c r="A732" s="11"/>
      <c r="B732" s="17" t="s">
        <v>31</v>
      </c>
      <c r="C732" s="18"/>
    </row>
    <row r="733" spans="1:3" ht="50.1" customHeight="1">
      <c r="A733" s="10"/>
      <c r="B733" s="24" t="s">
        <v>2</v>
      </c>
      <c r="C733" s="25" t="str">
        <f>IF(応募者入力!$F$78="","",応募者入力!$B$78)</f>
        <v/>
      </c>
    </row>
    <row r="734" spans="1:3" ht="50.1" customHeight="1">
      <c r="A734" s="10"/>
      <c r="B734" s="26" t="s">
        <v>32</v>
      </c>
      <c r="C734" s="27" t="str">
        <f>IF(応募者入力!$F$78="","","(大垣消防組合)")</f>
        <v/>
      </c>
    </row>
    <row r="735" spans="1:3" ht="50.1" customHeight="1">
      <c r="A735" s="10"/>
      <c r="B735" s="28" t="s">
        <v>3</v>
      </c>
      <c r="C735" s="39" t="str">
        <f>IF(応募者入力!$F$78="","",応募者入力!$C$78)</f>
        <v/>
      </c>
    </row>
    <row r="736" spans="1:3" ht="50.1" customHeight="1">
      <c r="A736" s="10"/>
      <c r="B736" s="26" t="s">
        <v>33</v>
      </c>
      <c r="C736" s="40"/>
    </row>
    <row r="737" spans="1:3" ht="50.1" customHeight="1">
      <c r="A737" s="10"/>
      <c r="B737" s="29" t="s">
        <v>5</v>
      </c>
      <c r="C737" s="30" t="str">
        <f>IF(応募者入力!$F$78="","",IFERROR(MID(応募者入力!$E$78,2,1)&amp;"年生",""))</f>
        <v/>
      </c>
    </row>
    <row r="738" spans="1:3" ht="39.950000000000003" customHeight="1">
      <c r="A738" s="10"/>
      <c r="B738" s="28" t="s">
        <v>34</v>
      </c>
      <c r="C738" s="31" t="str">
        <f>IF(応募者入力!$F$78="","",応募者入力!$G$78)</f>
        <v/>
      </c>
    </row>
    <row r="739" spans="1:3" ht="60" customHeight="1">
      <c r="A739" s="10"/>
      <c r="B739" s="32" t="s">
        <v>6</v>
      </c>
      <c r="C739" s="33" t="str">
        <f>IF(応募者入力!$F$78="","",応募者入力!$F$78)</f>
        <v/>
      </c>
    </row>
    <row r="740" spans="1:3" ht="14.25" customHeight="1">
      <c r="A740" s="10"/>
      <c r="B740" s="13"/>
      <c r="C740" s="13"/>
    </row>
    <row r="741" spans="1:3" ht="13.5" customHeight="1">
      <c r="A741" s="43"/>
      <c r="B741" s="42"/>
      <c r="C741" s="12"/>
    </row>
    <row r="742" spans="1:3" ht="69.95" customHeight="1">
      <c r="A742" s="11"/>
      <c r="B742" s="17" t="s">
        <v>31</v>
      </c>
      <c r="C742" s="18"/>
    </row>
    <row r="743" spans="1:3" ht="50.1" customHeight="1">
      <c r="A743" s="10"/>
      <c r="B743" s="24" t="s">
        <v>2</v>
      </c>
      <c r="C743" s="25" t="str">
        <f>IF(応募者入力!$F$79="","",応募者入力!$B$79)</f>
        <v/>
      </c>
    </row>
    <row r="744" spans="1:3" ht="50.1" customHeight="1">
      <c r="A744" s="10"/>
      <c r="B744" s="26" t="s">
        <v>32</v>
      </c>
      <c r="C744" s="27" t="str">
        <f>IF(応募者入力!$F$79="","","(大垣消防組合)")</f>
        <v/>
      </c>
    </row>
    <row r="745" spans="1:3" ht="50.1" customHeight="1">
      <c r="A745" s="10"/>
      <c r="B745" s="28" t="s">
        <v>3</v>
      </c>
      <c r="C745" s="39" t="str">
        <f>IF(応募者入力!$F$79="","",応募者入力!$C$79)</f>
        <v/>
      </c>
    </row>
    <row r="746" spans="1:3" ht="50.1" customHeight="1">
      <c r="A746" s="10"/>
      <c r="B746" s="26" t="s">
        <v>33</v>
      </c>
      <c r="C746" s="40"/>
    </row>
    <row r="747" spans="1:3" ht="50.1" customHeight="1">
      <c r="A747" s="10"/>
      <c r="B747" s="29" t="s">
        <v>5</v>
      </c>
      <c r="C747" s="30" t="str">
        <f>IF(応募者入力!$F$79="","",IFERROR(MID(応募者入力!$E$79,2,1)&amp;"年生",""))</f>
        <v/>
      </c>
    </row>
    <row r="748" spans="1:3" ht="39.950000000000003" customHeight="1">
      <c r="A748" s="10"/>
      <c r="B748" s="28" t="s">
        <v>34</v>
      </c>
      <c r="C748" s="31" t="str">
        <f>IF(応募者入力!$F$79="","",応募者入力!$G$79)</f>
        <v/>
      </c>
    </row>
    <row r="749" spans="1:3" ht="60" customHeight="1">
      <c r="A749" s="10"/>
      <c r="B749" s="32" t="s">
        <v>6</v>
      </c>
      <c r="C749" s="33" t="str">
        <f>IF(応募者入力!$F$79="","",応募者入力!$F$79)</f>
        <v/>
      </c>
    </row>
    <row r="750" spans="1:3" ht="14.25" customHeight="1">
      <c r="A750" s="10"/>
      <c r="B750" s="13"/>
      <c r="C750" s="13"/>
    </row>
    <row r="751" spans="1:3" ht="13.5" customHeight="1">
      <c r="A751" s="43"/>
      <c r="B751" s="42"/>
      <c r="C751" s="12"/>
    </row>
    <row r="752" spans="1:3" ht="69.95" customHeight="1">
      <c r="A752" s="11"/>
      <c r="B752" s="17" t="s">
        <v>31</v>
      </c>
      <c r="C752" s="18"/>
    </row>
    <row r="753" spans="1:3" ht="50.1" customHeight="1">
      <c r="A753" s="10"/>
      <c r="B753" s="24" t="s">
        <v>2</v>
      </c>
      <c r="C753" s="25" t="str">
        <f>IF(応募者入力!$F$80="","",応募者入力!$B$80)</f>
        <v/>
      </c>
    </row>
    <row r="754" spans="1:3" ht="50.1" customHeight="1">
      <c r="A754" s="10"/>
      <c r="B754" s="26" t="s">
        <v>32</v>
      </c>
      <c r="C754" s="27" t="str">
        <f>IF(応募者入力!$F$80="","","(大垣消防組合)")</f>
        <v/>
      </c>
    </row>
    <row r="755" spans="1:3" ht="50.1" customHeight="1">
      <c r="A755" s="10"/>
      <c r="B755" s="28" t="s">
        <v>3</v>
      </c>
      <c r="C755" s="39" t="str">
        <f>IF(応募者入力!$F$80="","",応募者入力!$C$80)</f>
        <v/>
      </c>
    </row>
    <row r="756" spans="1:3" ht="50.1" customHeight="1">
      <c r="A756" s="10"/>
      <c r="B756" s="26" t="s">
        <v>33</v>
      </c>
      <c r="C756" s="40"/>
    </row>
    <row r="757" spans="1:3" ht="50.1" customHeight="1">
      <c r="A757" s="10"/>
      <c r="B757" s="29" t="s">
        <v>5</v>
      </c>
      <c r="C757" s="30" t="str">
        <f>IF(応募者入力!$F$80="","",IFERROR(MID(応募者入力!$E$80,2,1)&amp;"年生",""))</f>
        <v/>
      </c>
    </row>
    <row r="758" spans="1:3" ht="39.950000000000003" customHeight="1">
      <c r="A758" s="10"/>
      <c r="B758" s="28" t="s">
        <v>34</v>
      </c>
      <c r="C758" s="31" t="str">
        <f>IF(応募者入力!$F$80="","",応募者入力!$G$80)</f>
        <v/>
      </c>
    </row>
    <row r="759" spans="1:3" ht="60" customHeight="1">
      <c r="A759" s="10"/>
      <c r="B759" s="32" t="s">
        <v>6</v>
      </c>
      <c r="C759" s="33" t="str">
        <f>IF(応募者入力!$F$80="","",応募者入力!$F$80)</f>
        <v/>
      </c>
    </row>
    <row r="760" spans="1:3" ht="14.25" customHeight="1">
      <c r="A760" s="10"/>
      <c r="B760" s="13"/>
      <c r="C760" s="13"/>
    </row>
    <row r="761" spans="1:3" ht="13.5" customHeight="1">
      <c r="A761" s="43"/>
      <c r="B761" s="42"/>
      <c r="C761" s="12"/>
    </row>
    <row r="762" spans="1:3" ht="69.95" customHeight="1">
      <c r="A762" s="11"/>
      <c r="B762" s="17" t="s">
        <v>31</v>
      </c>
      <c r="C762" s="18"/>
    </row>
    <row r="763" spans="1:3" ht="50.1" customHeight="1">
      <c r="A763" s="10"/>
      <c r="B763" s="24" t="s">
        <v>2</v>
      </c>
      <c r="C763" s="25" t="str">
        <f>IF(応募者入力!$F$81="","",応募者入力!$B$81)</f>
        <v/>
      </c>
    </row>
    <row r="764" spans="1:3" ht="50.1" customHeight="1">
      <c r="A764" s="10"/>
      <c r="B764" s="26" t="s">
        <v>32</v>
      </c>
      <c r="C764" s="27" t="str">
        <f>IF(応募者入力!$F$81="","","(大垣消防組合)")</f>
        <v/>
      </c>
    </row>
    <row r="765" spans="1:3" ht="50.1" customHeight="1">
      <c r="A765" s="10"/>
      <c r="B765" s="28" t="s">
        <v>3</v>
      </c>
      <c r="C765" s="39" t="str">
        <f>IF(応募者入力!$F$81="","",応募者入力!$C$81)</f>
        <v/>
      </c>
    </row>
    <row r="766" spans="1:3" ht="50.1" customHeight="1">
      <c r="A766" s="10"/>
      <c r="B766" s="26" t="s">
        <v>33</v>
      </c>
      <c r="C766" s="40"/>
    </row>
    <row r="767" spans="1:3" ht="50.1" customHeight="1">
      <c r="A767" s="10"/>
      <c r="B767" s="29" t="s">
        <v>5</v>
      </c>
      <c r="C767" s="30" t="str">
        <f>IF(応募者入力!$F$81="","",IFERROR(MID(応募者入力!$E$81,2,1)&amp;"年生",""))</f>
        <v/>
      </c>
    </row>
    <row r="768" spans="1:3" ht="39.950000000000003" customHeight="1">
      <c r="A768" s="10"/>
      <c r="B768" s="28" t="s">
        <v>34</v>
      </c>
      <c r="C768" s="31" t="str">
        <f>IF(応募者入力!$F$81="","",応募者入力!$G$81)</f>
        <v/>
      </c>
    </row>
    <row r="769" spans="1:3" ht="60" customHeight="1">
      <c r="A769" s="10"/>
      <c r="B769" s="32" t="s">
        <v>6</v>
      </c>
      <c r="C769" s="33" t="str">
        <f>IF(応募者入力!$F$81="","",応募者入力!$F$81)</f>
        <v/>
      </c>
    </row>
    <row r="770" spans="1:3" ht="14.25" customHeight="1">
      <c r="A770" s="10"/>
      <c r="B770" s="13"/>
      <c r="C770" s="13"/>
    </row>
    <row r="771" spans="1:3" ht="13.5" customHeight="1">
      <c r="A771" s="43"/>
      <c r="B771" s="42"/>
      <c r="C771" s="12"/>
    </row>
    <row r="772" spans="1:3" ht="69.95" customHeight="1">
      <c r="A772" s="11"/>
      <c r="B772" s="17" t="s">
        <v>31</v>
      </c>
      <c r="C772" s="18"/>
    </row>
    <row r="773" spans="1:3" ht="50.1" customHeight="1">
      <c r="A773" s="10"/>
      <c r="B773" s="24" t="s">
        <v>2</v>
      </c>
      <c r="C773" s="25" t="str">
        <f>IF(応募者入力!$F$82="","",応募者入力!$B$82)</f>
        <v/>
      </c>
    </row>
    <row r="774" spans="1:3" ht="50.1" customHeight="1">
      <c r="A774" s="10"/>
      <c r="B774" s="26" t="s">
        <v>32</v>
      </c>
      <c r="C774" s="27" t="str">
        <f>IF(応募者入力!$F$82="","","(大垣消防組合)")</f>
        <v/>
      </c>
    </row>
    <row r="775" spans="1:3" ht="50.1" customHeight="1">
      <c r="A775" s="10"/>
      <c r="B775" s="28" t="s">
        <v>3</v>
      </c>
      <c r="C775" s="39" t="str">
        <f>IF(応募者入力!$F$82="","",応募者入力!$C$82)</f>
        <v/>
      </c>
    </row>
    <row r="776" spans="1:3" ht="50.1" customHeight="1">
      <c r="A776" s="10"/>
      <c r="B776" s="26" t="s">
        <v>33</v>
      </c>
      <c r="C776" s="40"/>
    </row>
    <row r="777" spans="1:3" ht="50.1" customHeight="1">
      <c r="A777" s="10"/>
      <c r="B777" s="29" t="s">
        <v>5</v>
      </c>
      <c r="C777" s="30" t="str">
        <f>IF(応募者入力!$F$82="","",IFERROR(MID(応募者入力!$E$82,2,1)&amp;"年生",""))</f>
        <v/>
      </c>
    </row>
    <row r="778" spans="1:3" ht="39.950000000000003" customHeight="1">
      <c r="A778" s="10"/>
      <c r="B778" s="28" t="s">
        <v>34</v>
      </c>
      <c r="C778" s="31" t="str">
        <f>IF(応募者入力!$F$82="","",応募者入力!$G$82)</f>
        <v/>
      </c>
    </row>
    <row r="779" spans="1:3" ht="60" customHeight="1">
      <c r="A779" s="10"/>
      <c r="B779" s="32" t="s">
        <v>6</v>
      </c>
      <c r="C779" s="33" t="str">
        <f>IF(応募者入力!$F$82="","",応募者入力!$F$82)</f>
        <v/>
      </c>
    </row>
    <row r="780" spans="1:3" ht="14.25" customHeight="1">
      <c r="A780" s="10"/>
      <c r="B780" s="13"/>
      <c r="C780" s="13"/>
    </row>
    <row r="781" spans="1:3" ht="13.5" customHeight="1">
      <c r="A781" s="43"/>
      <c r="B781" s="42"/>
      <c r="C781" s="12"/>
    </row>
    <row r="782" spans="1:3" ht="69.95" customHeight="1">
      <c r="A782" s="11"/>
      <c r="B782" s="17" t="s">
        <v>31</v>
      </c>
      <c r="C782" s="18"/>
    </row>
    <row r="783" spans="1:3" ht="50.1" customHeight="1">
      <c r="A783" s="10"/>
      <c r="B783" s="24" t="s">
        <v>2</v>
      </c>
      <c r="C783" s="25" t="str">
        <f>IF(応募者入力!$F$83="","",応募者入力!$B$83)</f>
        <v/>
      </c>
    </row>
    <row r="784" spans="1:3" ht="50.1" customHeight="1">
      <c r="A784" s="10"/>
      <c r="B784" s="26" t="s">
        <v>32</v>
      </c>
      <c r="C784" s="27" t="str">
        <f>IF(応募者入力!$F$83="","","(大垣消防組合)")</f>
        <v/>
      </c>
    </row>
    <row r="785" spans="1:3" ht="50.1" customHeight="1">
      <c r="A785" s="10"/>
      <c r="B785" s="28" t="s">
        <v>3</v>
      </c>
      <c r="C785" s="39" t="str">
        <f>IF(応募者入力!$F$83="","",応募者入力!$C$83)</f>
        <v/>
      </c>
    </row>
    <row r="786" spans="1:3" ht="50.1" customHeight="1">
      <c r="A786" s="10"/>
      <c r="B786" s="26" t="s">
        <v>33</v>
      </c>
      <c r="C786" s="40"/>
    </row>
    <row r="787" spans="1:3" ht="50.1" customHeight="1">
      <c r="A787" s="10"/>
      <c r="B787" s="29" t="s">
        <v>5</v>
      </c>
      <c r="C787" s="30" t="str">
        <f>IF(応募者入力!$F$83="","",IFERROR(MID(応募者入力!$E$83,2,1)&amp;"年生",""))</f>
        <v/>
      </c>
    </row>
    <row r="788" spans="1:3" ht="39.950000000000003" customHeight="1">
      <c r="A788" s="10"/>
      <c r="B788" s="28" t="s">
        <v>34</v>
      </c>
      <c r="C788" s="31" t="str">
        <f>IF(応募者入力!$F$83="","",応募者入力!$G$83)</f>
        <v/>
      </c>
    </row>
    <row r="789" spans="1:3" ht="60" customHeight="1">
      <c r="A789" s="10"/>
      <c r="B789" s="32" t="s">
        <v>6</v>
      </c>
      <c r="C789" s="33" t="str">
        <f>IF(応募者入力!$F$83="","",応募者入力!$F$83)</f>
        <v/>
      </c>
    </row>
    <row r="790" spans="1:3" ht="14.25" customHeight="1">
      <c r="A790" s="10"/>
      <c r="B790" s="13"/>
      <c r="C790" s="13"/>
    </row>
    <row r="791" spans="1:3" ht="13.5" customHeight="1">
      <c r="A791" s="43"/>
      <c r="B791" s="42"/>
      <c r="C791" s="12"/>
    </row>
    <row r="792" spans="1:3" ht="69.95" customHeight="1">
      <c r="A792" s="11"/>
      <c r="B792" s="17" t="s">
        <v>31</v>
      </c>
      <c r="C792" s="18"/>
    </row>
    <row r="793" spans="1:3" ht="50.1" customHeight="1">
      <c r="A793" s="10"/>
      <c r="B793" s="24" t="s">
        <v>2</v>
      </c>
      <c r="C793" s="25" t="str">
        <f>IF(応募者入力!$F$84="","",応募者入力!$B$84)</f>
        <v/>
      </c>
    </row>
    <row r="794" spans="1:3" ht="50.1" customHeight="1">
      <c r="A794" s="10"/>
      <c r="B794" s="26" t="s">
        <v>32</v>
      </c>
      <c r="C794" s="27" t="str">
        <f>IF(応募者入力!$F$84="","","(大垣消防組合)")</f>
        <v/>
      </c>
    </row>
    <row r="795" spans="1:3" ht="50.1" customHeight="1">
      <c r="A795" s="10"/>
      <c r="B795" s="28" t="s">
        <v>3</v>
      </c>
      <c r="C795" s="39" t="str">
        <f>IF(応募者入力!$F$84="","",応募者入力!$C$84)</f>
        <v/>
      </c>
    </row>
    <row r="796" spans="1:3" ht="50.1" customHeight="1">
      <c r="A796" s="10"/>
      <c r="B796" s="26" t="s">
        <v>33</v>
      </c>
      <c r="C796" s="40"/>
    </row>
    <row r="797" spans="1:3" ht="50.1" customHeight="1">
      <c r="A797" s="10"/>
      <c r="B797" s="29" t="s">
        <v>5</v>
      </c>
      <c r="C797" s="30" t="str">
        <f>IF(応募者入力!$F$84="","",IFERROR(MID(応募者入力!$E$84,2,1)&amp;"年生",""))</f>
        <v/>
      </c>
    </row>
    <row r="798" spans="1:3" ht="39.950000000000003" customHeight="1">
      <c r="A798" s="10"/>
      <c r="B798" s="28" t="s">
        <v>34</v>
      </c>
      <c r="C798" s="31" t="str">
        <f>IF(応募者入力!$F$84="","",応募者入力!$G$84)</f>
        <v/>
      </c>
    </row>
    <row r="799" spans="1:3" ht="60" customHeight="1">
      <c r="A799" s="10"/>
      <c r="B799" s="32" t="s">
        <v>6</v>
      </c>
      <c r="C799" s="33" t="str">
        <f>IF(応募者入力!$F$84="","",応募者入力!$F$84)</f>
        <v/>
      </c>
    </row>
    <row r="800" spans="1:3" ht="14.25" customHeight="1">
      <c r="A800" s="10"/>
      <c r="B800" s="13"/>
      <c r="C800" s="13"/>
    </row>
    <row r="801" spans="1:3" ht="13.5" customHeight="1">
      <c r="A801" s="43"/>
      <c r="B801" s="42"/>
      <c r="C801" s="12"/>
    </row>
    <row r="802" spans="1:3" ht="69.95" customHeight="1">
      <c r="A802" s="11"/>
      <c r="B802" s="17" t="s">
        <v>31</v>
      </c>
      <c r="C802" s="18"/>
    </row>
    <row r="803" spans="1:3" ht="50.1" customHeight="1">
      <c r="A803" s="10"/>
      <c r="B803" s="24" t="s">
        <v>2</v>
      </c>
      <c r="C803" s="25" t="str">
        <f>IF(応募者入力!$F$85="","",応募者入力!$B$85)</f>
        <v/>
      </c>
    </row>
    <row r="804" spans="1:3" ht="50.1" customHeight="1">
      <c r="A804" s="10"/>
      <c r="B804" s="26" t="s">
        <v>32</v>
      </c>
      <c r="C804" s="27" t="str">
        <f>IF(応募者入力!$F$85="","","(大垣消防組合)")</f>
        <v/>
      </c>
    </row>
    <row r="805" spans="1:3" ht="50.1" customHeight="1">
      <c r="A805" s="10"/>
      <c r="B805" s="28" t="s">
        <v>3</v>
      </c>
      <c r="C805" s="39" t="str">
        <f>IF(応募者入力!$F$85="","",応募者入力!$C$85)</f>
        <v/>
      </c>
    </row>
    <row r="806" spans="1:3" ht="50.1" customHeight="1">
      <c r="A806" s="10"/>
      <c r="B806" s="26" t="s">
        <v>33</v>
      </c>
      <c r="C806" s="40"/>
    </row>
    <row r="807" spans="1:3" ht="50.1" customHeight="1">
      <c r="A807" s="10"/>
      <c r="B807" s="29" t="s">
        <v>5</v>
      </c>
      <c r="C807" s="30" t="str">
        <f>IF(応募者入力!$F$85="","",IFERROR(MID(応募者入力!$E$85,2,1)&amp;"年生",""))</f>
        <v/>
      </c>
    </row>
    <row r="808" spans="1:3" ht="39.950000000000003" customHeight="1">
      <c r="A808" s="10"/>
      <c r="B808" s="28" t="s">
        <v>34</v>
      </c>
      <c r="C808" s="31" t="str">
        <f>IF(応募者入力!$F$85="","",応募者入力!$G$85)</f>
        <v/>
      </c>
    </row>
    <row r="809" spans="1:3" ht="60" customHeight="1">
      <c r="A809" s="10"/>
      <c r="B809" s="32" t="s">
        <v>6</v>
      </c>
      <c r="C809" s="33" t="str">
        <f>IF(応募者入力!$F$85="","",応募者入力!$F$85)</f>
        <v/>
      </c>
    </row>
    <row r="810" spans="1:3" ht="14.25" customHeight="1">
      <c r="A810" s="10"/>
      <c r="B810" s="13"/>
      <c r="C810" s="13"/>
    </row>
    <row r="811" spans="1:3" ht="13.5" customHeight="1">
      <c r="A811" s="43"/>
      <c r="B811" s="42"/>
      <c r="C811" s="12"/>
    </row>
    <row r="812" spans="1:3" ht="69.95" customHeight="1">
      <c r="A812" s="11"/>
      <c r="B812" s="17" t="s">
        <v>31</v>
      </c>
      <c r="C812" s="18"/>
    </row>
    <row r="813" spans="1:3" ht="50.1" customHeight="1">
      <c r="A813" s="10"/>
      <c r="B813" s="24" t="s">
        <v>2</v>
      </c>
      <c r="C813" s="25" t="str">
        <f>IF(応募者入力!$F$86="","",応募者入力!$B$86)</f>
        <v/>
      </c>
    </row>
    <row r="814" spans="1:3" ht="50.1" customHeight="1">
      <c r="A814" s="10"/>
      <c r="B814" s="26" t="s">
        <v>32</v>
      </c>
      <c r="C814" s="27" t="str">
        <f>IF(応募者入力!$F$86="","","(大垣消防組合)")</f>
        <v/>
      </c>
    </row>
    <row r="815" spans="1:3" ht="50.1" customHeight="1">
      <c r="A815" s="10"/>
      <c r="B815" s="28" t="s">
        <v>3</v>
      </c>
      <c r="C815" s="39" t="str">
        <f>IF(応募者入力!$F$86="","",応募者入力!$C$86)</f>
        <v/>
      </c>
    </row>
    <row r="816" spans="1:3" ht="50.1" customHeight="1">
      <c r="A816" s="10"/>
      <c r="B816" s="26" t="s">
        <v>33</v>
      </c>
      <c r="C816" s="40"/>
    </row>
    <row r="817" spans="1:3" ht="50.1" customHeight="1">
      <c r="A817" s="10"/>
      <c r="B817" s="29" t="s">
        <v>5</v>
      </c>
      <c r="C817" s="30" t="str">
        <f>IF(応募者入力!$F$86="","",IFERROR(MID(応募者入力!$E$86,2,1)&amp;"年生",""))</f>
        <v/>
      </c>
    </row>
    <row r="818" spans="1:3" ht="39.950000000000003" customHeight="1">
      <c r="A818" s="10"/>
      <c r="B818" s="28" t="s">
        <v>34</v>
      </c>
      <c r="C818" s="31" t="str">
        <f>IF(応募者入力!$F$86="","",応募者入力!$G$86)</f>
        <v/>
      </c>
    </row>
    <row r="819" spans="1:3" ht="60" customHeight="1">
      <c r="A819" s="10"/>
      <c r="B819" s="32" t="s">
        <v>6</v>
      </c>
      <c r="C819" s="33" t="str">
        <f>IF(応募者入力!$F$86="","",応募者入力!$F$86)</f>
        <v/>
      </c>
    </row>
    <row r="820" spans="1:3" ht="14.25" customHeight="1">
      <c r="A820" s="10"/>
      <c r="B820" s="13"/>
      <c r="C820" s="13"/>
    </row>
    <row r="821" spans="1:3" ht="13.5" customHeight="1">
      <c r="A821" s="43"/>
      <c r="B821" s="42"/>
      <c r="C821" s="12"/>
    </row>
    <row r="822" spans="1:3" ht="69.95" customHeight="1">
      <c r="A822" s="11"/>
      <c r="B822" s="17" t="s">
        <v>31</v>
      </c>
      <c r="C822" s="18"/>
    </row>
    <row r="823" spans="1:3" ht="50.1" customHeight="1">
      <c r="A823" s="10"/>
      <c r="B823" s="24" t="s">
        <v>2</v>
      </c>
      <c r="C823" s="25" t="str">
        <f>IF(応募者入力!$F$87="","",応募者入力!$B$87)</f>
        <v/>
      </c>
    </row>
    <row r="824" spans="1:3" ht="50.1" customHeight="1">
      <c r="A824" s="10"/>
      <c r="B824" s="26" t="s">
        <v>32</v>
      </c>
      <c r="C824" s="27" t="str">
        <f>IF(応募者入力!$F$87="","","(大垣消防組合)")</f>
        <v/>
      </c>
    </row>
    <row r="825" spans="1:3" ht="50.1" customHeight="1">
      <c r="A825" s="10"/>
      <c r="B825" s="28" t="s">
        <v>3</v>
      </c>
      <c r="C825" s="39" t="str">
        <f>IF(応募者入力!$F$87="","",応募者入力!$C$87)</f>
        <v/>
      </c>
    </row>
    <row r="826" spans="1:3" ht="50.1" customHeight="1">
      <c r="A826" s="10"/>
      <c r="B826" s="26" t="s">
        <v>33</v>
      </c>
      <c r="C826" s="40"/>
    </row>
    <row r="827" spans="1:3" ht="50.1" customHeight="1">
      <c r="A827" s="10"/>
      <c r="B827" s="29" t="s">
        <v>5</v>
      </c>
      <c r="C827" s="30" t="str">
        <f>IF(応募者入力!$F$87="","",IFERROR(MID(応募者入力!$E$87,2,1)&amp;"年生",""))</f>
        <v/>
      </c>
    </row>
    <row r="828" spans="1:3" ht="39.950000000000003" customHeight="1">
      <c r="A828" s="10"/>
      <c r="B828" s="28" t="s">
        <v>34</v>
      </c>
      <c r="C828" s="31" t="str">
        <f>IF(応募者入力!$F$87="","",応募者入力!$G$87)</f>
        <v/>
      </c>
    </row>
    <row r="829" spans="1:3" ht="60" customHeight="1">
      <c r="A829" s="10"/>
      <c r="B829" s="32" t="s">
        <v>6</v>
      </c>
      <c r="C829" s="33" t="str">
        <f>IF(応募者入力!$F$87="","",応募者入力!$F$87)</f>
        <v/>
      </c>
    </row>
    <row r="830" spans="1:3" ht="14.25" customHeight="1">
      <c r="A830" s="10"/>
      <c r="B830" s="13"/>
      <c r="C830" s="13"/>
    </row>
    <row r="831" spans="1:3" ht="13.5" customHeight="1">
      <c r="A831" s="43"/>
      <c r="B831" s="42"/>
      <c r="C831" s="12"/>
    </row>
    <row r="832" spans="1:3" ht="69.95" customHeight="1">
      <c r="A832" s="11"/>
      <c r="B832" s="17" t="s">
        <v>31</v>
      </c>
      <c r="C832" s="18"/>
    </row>
    <row r="833" spans="1:3" ht="50.1" customHeight="1">
      <c r="A833" s="10"/>
      <c r="B833" s="24" t="s">
        <v>2</v>
      </c>
      <c r="C833" s="25" t="str">
        <f>IF(応募者入力!$F$88="","",応募者入力!$B$88)</f>
        <v/>
      </c>
    </row>
    <row r="834" spans="1:3" ht="50.1" customHeight="1">
      <c r="A834" s="10"/>
      <c r="B834" s="26" t="s">
        <v>32</v>
      </c>
      <c r="C834" s="27" t="str">
        <f>IF(応募者入力!$F$88="","","(大垣消防組合)")</f>
        <v/>
      </c>
    </row>
    <row r="835" spans="1:3" ht="50.1" customHeight="1">
      <c r="A835" s="10"/>
      <c r="B835" s="28" t="s">
        <v>3</v>
      </c>
      <c r="C835" s="39" t="str">
        <f>IF(応募者入力!$F$88="","",応募者入力!$C$88)</f>
        <v/>
      </c>
    </row>
    <row r="836" spans="1:3" ht="50.1" customHeight="1">
      <c r="A836" s="10"/>
      <c r="B836" s="26" t="s">
        <v>33</v>
      </c>
      <c r="C836" s="40"/>
    </row>
    <row r="837" spans="1:3" ht="50.1" customHeight="1">
      <c r="A837" s="10"/>
      <c r="B837" s="29" t="s">
        <v>5</v>
      </c>
      <c r="C837" s="30" t="str">
        <f>IF(応募者入力!$F$88="","",IFERROR(MID(応募者入力!$E$88,2,1)&amp;"年生",""))</f>
        <v/>
      </c>
    </row>
    <row r="838" spans="1:3" ht="39.950000000000003" customHeight="1">
      <c r="A838" s="10"/>
      <c r="B838" s="28" t="s">
        <v>34</v>
      </c>
      <c r="C838" s="31" t="str">
        <f>IF(応募者入力!$F$88="","",応募者入力!$G$88)</f>
        <v/>
      </c>
    </row>
    <row r="839" spans="1:3" ht="60" customHeight="1">
      <c r="A839" s="10"/>
      <c r="B839" s="32" t="s">
        <v>6</v>
      </c>
      <c r="C839" s="33" t="str">
        <f>IF(応募者入力!$F$88="","",応募者入力!$F$88)</f>
        <v/>
      </c>
    </row>
    <row r="840" spans="1:3" ht="14.25" customHeight="1">
      <c r="A840" s="10"/>
      <c r="B840" s="13"/>
      <c r="C840" s="13"/>
    </row>
    <row r="841" spans="1:3" ht="13.5" customHeight="1">
      <c r="A841" s="43"/>
      <c r="B841" s="42"/>
      <c r="C841" s="12"/>
    </row>
    <row r="842" spans="1:3" ht="69.95" customHeight="1">
      <c r="A842" s="11"/>
      <c r="B842" s="17" t="s">
        <v>31</v>
      </c>
      <c r="C842" s="18"/>
    </row>
    <row r="843" spans="1:3" ht="50.1" customHeight="1">
      <c r="A843" s="10"/>
      <c r="B843" s="24" t="s">
        <v>2</v>
      </c>
      <c r="C843" s="25" t="str">
        <f>IF(応募者入力!$F$89="","",応募者入力!$B$89)</f>
        <v/>
      </c>
    </row>
    <row r="844" spans="1:3" ht="50.1" customHeight="1">
      <c r="A844" s="10"/>
      <c r="B844" s="26" t="s">
        <v>32</v>
      </c>
      <c r="C844" s="27" t="str">
        <f>IF(応募者入力!$F$89="","","(大垣消防組合)")</f>
        <v/>
      </c>
    </row>
    <row r="845" spans="1:3" ht="50.1" customHeight="1">
      <c r="A845" s="10"/>
      <c r="B845" s="28" t="s">
        <v>3</v>
      </c>
      <c r="C845" s="39" t="str">
        <f>IF(応募者入力!$F$89="","",応募者入力!$C$89)</f>
        <v/>
      </c>
    </row>
    <row r="846" spans="1:3" ht="50.1" customHeight="1">
      <c r="A846" s="10"/>
      <c r="B846" s="26" t="s">
        <v>33</v>
      </c>
      <c r="C846" s="40"/>
    </row>
    <row r="847" spans="1:3" ht="50.1" customHeight="1">
      <c r="A847" s="10"/>
      <c r="B847" s="29" t="s">
        <v>5</v>
      </c>
      <c r="C847" s="30" t="str">
        <f>IF(応募者入力!$F$89="","",IFERROR(MID(応募者入力!$E$89,2,1)&amp;"年生",""))</f>
        <v/>
      </c>
    </row>
    <row r="848" spans="1:3" ht="39.950000000000003" customHeight="1">
      <c r="A848" s="10"/>
      <c r="B848" s="28" t="s">
        <v>34</v>
      </c>
      <c r="C848" s="31" t="str">
        <f>IF(応募者入力!$F$89="","",応募者入力!$G$89)</f>
        <v/>
      </c>
    </row>
    <row r="849" spans="1:3" ht="60" customHeight="1">
      <c r="A849" s="10"/>
      <c r="B849" s="32" t="s">
        <v>6</v>
      </c>
      <c r="C849" s="33" t="str">
        <f>IF(応募者入力!$F$89="","",応募者入力!$F$89)</f>
        <v/>
      </c>
    </row>
    <row r="850" spans="1:3" ht="14.25" customHeight="1">
      <c r="A850" s="10"/>
      <c r="B850" s="13"/>
      <c r="C850" s="13"/>
    </row>
    <row r="851" spans="1:3" ht="13.5" customHeight="1">
      <c r="A851" s="43"/>
      <c r="B851" s="42"/>
      <c r="C851" s="12"/>
    </row>
    <row r="852" spans="1:3" ht="69.95" customHeight="1">
      <c r="A852" s="11"/>
      <c r="B852" s="17" t="s">
        <v>31</v>
      </c>
      <c r="C852" s="18"/>
    </row>
    <row r="853" spans="1:3" ht="50.1" customHeight="1">
      <c r="A853" s="10"/>
      <c r="B853" s="24" t="s">
        <v>2</v>
      </c>
      <c r="C853" s="25" t="str">
        <f>IF(応募者入力!$F$90="","",応募者入力!$B$90)</f>
        <v/>
      </c>
    </row>
    <row r="854" spans="1:3" ht="50.1" customHeight="1">
      <c r="A854" s="10"/>
      <c r="B854" s="26" t="s">
        <v>32</v>
      </c>
      <c r="C854" s="27" t="str">
        <f>IF(応募者入力!$F$90="","","(大垣消防組合)")</f>
        <v/>
      </c>
    </row>
    <row r="855" spans="1:3" ht="50.1" customHeight="1">
      <c r="A855" s="10"/>
      <c r="B855" s="28" t="s">
        <v>3</v>
      </c>
      <c r="C855" s="39" t="str">
        <f>IF(応募者入力!$F$90="","",応募者入力!$C$90)</f>
        <v/>
      </c>
    </row>
    <row r="856" spans="1:3" ht="50.1" customHeight="1">
      <c r="A856" s="10"/>
      <c r="B856" s="26" t="s">
        <v>33</v>
      </c>
      <c r="C856" s="40"/>
    </row>
    <row r="857" spans="1:3" ht="50.1" customHeight="1">
      <c r="A857" s="10"/>
      <c r="B857" s="29" t="s">
        <v>5</v>
      </c>
      <c r="C857" s="30" t="str">
        <f>IF(応募者入力!$F$90="","",IFERROR(MID(応募者入力!$E$90,2,1)&amp;"年生",""))</f>
        <v/>
      </c>
    </row>
    <row r="858" spans="1:3" ht="39.950000000000003" customHeight="1">
      <c r="A858" s="10"/>
      <c r="B858" s="28" t="s">
        <v>34</v>
      </c>
      <c r="C858" s="31" t="str">
        <f>IF(応募者入力!$F$90="","",応募者入力!$G$90)</f>
        <v/>
      </c>
    </row>
    <row r="859" spans="1:3" ht="60" customHeight="1">
      <c r="A859" s="10"/>
      <c r="B859" s="32" t="s">
        <v>6</v>
      </c>
      <c r="C859" s="33" t="str">
        <f>IF(応募者入力!$F$90="","",応募者入力!$F$90)</f>
        <v/>
      </c>
    </row>
    <row r="860" spans="1:3" ht="14.25" customHeight="1">
      <c r="A860" s="10"/>
      <c r="B860" s="13"/>
      <c r="C860" s="13"/>
    </row>
    <row r="861" spans="1:3" ht="13.5" customHeight="1">
      <c r="A861" s="43"/>
      <c r="B861" s="42"/>
      <c r="C861" s="12"/>
    </row>
    <row r="862" spans="1:3" ht="69.95" customHeight="1">
      <c r="A862" s="11"/>
      <c r="B862" s="17" t="s">
        <v>31</v>
      </c>
      <c r="C862" s="18"/>
    </row>
    <row r="863" spans="1:3" ht="50.1" customHeight="1">
      <c r="A863" s="10"/>
      <c r="B863" s="24" t="s">
        <v>2</v>
      </c>
      <c r="C863" s="25" t="str">
        <f>IF(応募者入力!$F$91="","",応募者入力!$B$91)</f>
        <v/>
      </c>
    </row>
    <row r="864" spans="1:3" ht="50.1" customHeight="1">
      <c r="A864" s="10"/>
      <c r="B864" s="26" t="s">
        <v>32</v>
      </c>
      <c r="C864" s="27" t="str">
        <f>IF(応募者入力!$F$91="","","(大垣消防組合)")</f>
        <v/>
      </c>
    </row>
    <row r="865" spans="1:3" ht="50.1" customHeight="1">
      <c r="A865" s="10"/>
      <c r="B865" s="28" t="s">
        <v>3</v>
      </c>
      <c r="C865" s="39" t="str">
        <f>IF(応募者入力!$F$91="","",応募者入力!$C$91)</f>
        <v/>
      </c>
    </row>
    <row r="866" spans="1:3" ht="50.1" customHeight="1">
      <c r="A866" s="10"/>
      <c r="B866" s="26" t="s">
        <v>33</v>
      </c>
      <c r="C866" s="40"/>
    </row>
    <row r="867" spans="1:3" ht="50.1" customHeight="1">
      <c r="A867" s="10"/>
      <c r="B867" s="29" t="s">
        <v>5</v>
      </c>
      <c r="C867" s="30" t="str">
        <f>IF(応募者入力!$F$91="","",IFERROR(MID(応募者入力!$E$91,2,1)&amp;"年生",""))</f>
        <v/>
      </c>
    </row>
    <row r="868" spans="1:3" ht="39.950000000000003" customHeight="1">
      <c r="A868" s="10"/>
      <c r="B868" s="28" t="s">
        <v>34</v>
      </c>
      <c r="C868" s="31" t="str">
        <f>IF(応募者入力!$F$91="","",応募者入力!$G$91)</f>
        <v/>
      </c>
    </row>
    <row r="869" spans="1:3" ht="60" customHeight="1">
      <c r="A869" s="10"/>
      <c r="B869" s="32" t="s">
        <v>6</v>
      </c>
      <c r="C869" s="33" t="str">
        <f>IF(応募者入力!$F$91="","",応募者入力!$F$91)</f>
        <v/>
      </c>
    </row>
    <row r="870" spans="1:3" ht="14.25" customHeight="1">
      <c r="A870" s="10"/>
      <c r="B870" s="13"/>
      <c r="C870" s="13"/>
    </row>
    <row r="871" spans="1:3" ht="13.5" customHeight="1">
      <c r="A871" s="43"/>
      <c r="B871" s="42"/>
      <c r="C871" s="12"/>
    </row>
    <row r="872" spans="1:3" ht="69.95" customHeight="1">
      <c r="A872" s="11"/>
      <c r="B872" s="17" t="s">
        <v>31</v>
      </c>
      <c r="C872" s="18"/>
    </row>
    <row r="873" spans="1:3" ht="50.1" customHeight="1">
      <c r="A873" s="10"/>
      <c r="B873" s="24" t="s">
        <v>2</v>
      </c>
      <c r="C873" s="25" t="str">
        <f>IF(応募者入力!$F$92="","",応募者入力!$B$92)</f>
        <v/>
      </c>
    </row>
    <row r="874" spans="1:3" ht="50.1" customHeight="1">
      <c r="A874" s="10"/>
      <c r="B874" s="26" t="s">
        <v>32</v>
      </c>
      <c r="C874" s="27" t="str">
        <f>IF(応募者入力!$F$92="","","(大垣消防組合)")</f>
        <v/>
      </c>
    </row>
    <row r="875" spans="1:3" ht="50.1" customHeight="1">
      <c r="A875" s="10"/>
      <c r="B875" s="28" t="s">
        <v>3</v>
      </c>
      <c r="C875" s="39" t="str">
        <f>IF(応募者入力!$F$92="","",応募者入力!$C$92)</f>
        <v/>
      </c>
    </row>
    <row r="876" spans="1:3" ht="50.1" customHeight="1">
      <c r="A876" s="10"/>
      <c r="B876" s="26" t="s">
        <v>33</v>
      </c>
      <c r="C876" s="40"/>
    </row>
    <row r="877" spans="1:3" ht="50.1" customHeight="1">
      <c r="A877" s="10"/>
      <c r="B877" s="29" t="s">
        <v>5</v>
      </c>
      <c r="C877" s="30" t="str">
        <f>IF(応募者入力!$F$92="","",IFERROR(MID(応募者入力!$E$92,2,1)&amp;"年生",""))</f>
        <v/>
      </c>
    </row>
    <row r="878" spans="1:3" ht="39.950000000000003" customHeight="1">
      <c r="A878" s="10"/>
      <c r="B878" s="28" t="s">
        <v>34</v>
      </c>
      <c r="C878" s="31" t="str">
        <f>IF(応募者入力!$F$92="","",応募者入力!$G$92)</f>
        <v/>
      </c>
    </row>
    <row r="879" spans="1:3" ht="60" customHeight="1">
      <c r="A879" s="10"/>
      <c r="B879" s="32" t="s">
        <v>6</v>
      </c>
      <c r="C879" s="33" t="str">
        <f>IF(応募者入力!$F$92="","",応募者入力!$F$92)</f>
        <v/>
      </c>
    </row>
    <row r="880" spans="1:3" ht="14.25" customHeight="1">
      <c r="A880" s="10"/>
      <c r="B880" s="13"/>
      <c r="C880" s="13"/>
    </row>
    <row r="881" spans="1:3" ht="13.5" customHeight="1">
      <c r="A881" s="43"/>
      <c r="B881" s="42"/>
      <c r="C881" s="12"/>
    </row>
    <row r="882" spans="1:3" ht="69.95" customHeight="1">
      <c r="A882" s="11"/>
      <c r="B882" s="17" t="s">
        <v>31</v>
      </c>
      <c r="C882" s="18"/>
    </row>
    <row r="883" spans="1:3" ht="50.1" customHeight="1">
      <c r="A883" s="10"/>
      <c r="B883" s="24" t="s">
        <v>2</v>
      </c>
      <c r="C883" s="25" t="str">
        <f>IF(応募者入力!$F$93="","",応募者入力!$B$93)</f>
        <v/>
      </c>
    </row>
    <row r="884" spans="1:3" ht="50.1" customHeight="1">
      <c r="A884" s="10"/>
      <c r="B884" s="26" t="s">
        <v>32</v>
      </c>
      <c r="C884" s="27" t="str">
        <f>IF(応募者入力!$F$93="","","(大垣消防組合)")</f>
        <v/>
      </c>
    </row>
    <row r="885" spans="1:3" ht="50.1" customHeight="1">
      <c r="A885" s="10"/>
      <c r="B885" s="28" t="s">
        <v>3</v>
      </c>
      <c r="C885" s="39" t="str">
        <f>IF(応募者入力!$F$93="","",応募者入力!$C$93)</f>
        <v/>
      </c>
    </row>
    <row r="886" spans="1:3" ht="50.1" customHeight="1">
      <c r="A886" s="10"/>
      <c r="B886" s="26" t="s">
        <v>33</v>
      </c>
      <c r="C886" s="40"/>
    </row>
    <row r="887" spans="1:3" ht="50.1" customHeight="1">
      <c r="A887" s="10"/>
      <c r="B887" s="29" t="s">
        <v>5</v>
      </c>
      <c r="C887" s="30" t="str">
        <f>IF(応募者入力!$F$93="","",IFERROR(MID(応募者入力!$E$93,2,1)&amp;"年生",""))</f>
        <v/>
      </c>
    </row>
    <row r="888" spans="1:3" ht="39.950000000000003" customHeight="1">
      <c r="A888" s="10"/>
      <c r="B888" s="28" t="s">
        <v>34</v>
      </c>
      <c r="C888" s="31" t="str">
        <f>IF(応募者入力!$F$93="","",応募者入力!$G$93)</f>
        <v/>
      </c>
    </row>
    <row r="889" spans="1:3" ht="60" customHeight="1">
      <c r="A889" s="10"/>
      <c r="B889" s="32" t="s">
        <v>6</v>
      </c>
      <c r="C889" s="33" t="str">
        <f>IF(応募者入力!$F$93="","",応募者入力!$F$93)</f>
        <v/>
      </c>
    </row>
    <row r="890" spans="1:3" ht="14.25" customHeight="1">
      <c r="A890" s="10"/>
      <c r="B890" s="13"/>
      <c r="C890" s="13"/>
    </row>
    <row r="891" spans="1:3" ht="13.5" customHeight="1">
      <c r="A891" s="43"/>
      <c r="B891" s="42"/>
      <c r="C891" s="12"/>
    </row>
    <row r="892" spans="1:3" ht="69.95" customHeight="1">
      <c r="A892" s="11"/>
      <c r="B892" s="17" t="s">
        <v>31</v>
      </c>
      <c r="C892" s="18"/>
    </row>
    <row r="893" spans="1:3" ht="50.1" customHeight="1">
      <c r="A893" s="10"/>
      <c r="B893" s="24" t="s">
        <v>2</v>
      </c>
      <c r="C893" s="25" t="str">
        <f>IF(応募者入力!$F$94="","",応募者入力!$B$94)</f>
        <v/>
      </c>
    </row>
    <row r="894" spans="1:3" ht="50.1" customHeight="1">
      <c r="A894" s="10"/>
      <c r="B894" s="26" t="s">
        <v>32</v>
      </c>
      <c r="C894" s="27" t="str">
        <f>IF(応募者入力!$F$94="","","(大垣消防組合)")</f>
        <v/>
      </c>
    </row>
    <row r="895" spans="1:3" ht="50.1" customHeight="1">
      <c r="A895" s="10"/>
      <c r="B895" s="28" t="s">
        <v>3</v>
      </c>
      <c r="C895" s="39" t="str">
        <f>IF(応募者入力!$F$94="","",応募者入力!$C$94)</f>
        <v/>
      </c>
    </row>
    <row r="896" spans="1:3" ht="50.1" customHeight="1">
      <c r="A896" s="10"/>
      <c r="B896" s="26" t="s">
        <v>33</v>
      </c>
      <c r="C896" s="40"/>
    </row>
    <row r="897" spans="1:3" ht="50.1" customHeight="1">
      <c r="A897" s="10"/>
      <c r="B897" s="29" t="s">
        <v>5</v>
      </c>
      <c r="C897" s="30" t="str">
        <f>IF(応募者入力!$F$94="","",IFERROR(MID(応募者入力!$E$94,2,1)&amp;"年生",""))</f>
        <v/>
      </c>
    </row>
    <row r="898" spans="1:3" ht="39.950000000000003" customHeight="1">
      <c r="A898" s="10"/>
      <c r="B898" s="28" t="s">
        <v>34</v>
      </c>
      <c r="C898" s="31" t="str">
        <f>IF(応募者入力!$F$94="","",応募者入力!$G$94)</f>
        <v/>
      </c>
    </row>
    <row r="899" spans="1:3" ht="60" customHeight="1">
      <c r="A899" s="10"/>
      <c r="B899" s="32" t="s">
        <v>6</v>
      </c>
      <c r="C899" s="33" t="str">
        <f>IF(応募者入力!$F$94="","",応募者入力!$F$94)</f>
        <v/>
      </c>
    </row>
    <row r="900" spans="1:3" ht="14.25" customHeight="1">
      <c r="A900" s="10"/>
      <c r="B900" s="13"/>
      <c r="C900" s="13"/>
    </row>
    <row r="901" spans="1:3" ht="13.5" customHeight="1">
      <c r="A901" s="43"/>
      <c r="B901" s="42"/>
      <c r="C901" s="12"/>
    </row>
    <row r="902" spans="1:3" ht="69.95" customHeight="1">
      <c r="A902" s="11"/>
      <c r="B902" s="17" t="s">
        <v>31</v>
      </c>
      <c r="C902" s="18"/>
    </row>
    <row r="903" spans="1:3" ht="50.1" customHeight="1">
      <c r="A903" s="10"/>
      <c r="B903" s="24" t="s">
        <v>2</v>
      </c>
      <c r="C903" s="25" t="str">
        <f>IF(応募者入力!$F$95="","",応募者入力!$B$95)</f>
        <v/>
      </c>
    </row>
    <row r="904" spans="1:3" ht="50.1" customHeight="1">
      <c r="A904" s="10"/>
      <c r="B904" s="26" t="s">
        <v>32</v>
      </c>
      <c r="C904" s="27" t="str">
        <f>IF(応募者入力!$F$95="","","(大垣消防組合)")</f>
        <v/>
      </c>
    </row>
    <row r="905" spans="1:3" ht="50.1" customHeight="1">
      <c r="A905" s="10"/>
      <c r="B905" s="28" t="s">
        <v>3</v>
      </c>
      <c r="C905" s="39" t="str">
        <f>IF(応募者入力!$F$95="","",応募者入力!$C$95)</f>
        <v/>
      </c>
    </row>
    <row r="906" spans="1:3" ht="50.1" customHeight="1">
      <c r="A906" s="10"/>
      <c r="B906" s="26" t="s">
        <v>33</v>
      </c>
      <c r="C906" s="40"/>
    </row>
    <row r="907" spans="1:3" ht="50.1" customHeight="1">
      <c r="A907" s="10"/>
      <c r="B907" s="29" t="s">
        <v>5</v>
      </c>
      <c r="C907" s="30" t="str">
        <f>IF(応募者入力!$F$95="","",IFERROR(MID(応募者入力!$E$95,2,1)&amp;"年生",""))</f>
        <v/>
      </c>
    </row>
    <row r="908" spans="1:3" ht="39.950000000000003" customHeight="1">
      <c r="A908" s="10"/>
      <c r="B908" s="28" t="s">
        <v>34</v>
      </c>
      <c r="C908" s="31" t="str">
        <f>IF(応募者入力!$F$95="","",応募者入力!$G$95)</f>
        <v/>
      </c>
    </row>
    <row r="909" spans="1:3" ht="60" customHeight="1">
      <c r="A909" s="10"/>
      <c r="B909" s="32" t="s">
        <v>6</v>
      </c>
      <c r="C909" s="33" t="str">
        <f>IF(応募者入力!$F$95="","",応募者入力!$F$95)</f>
        <v/>
      </c>
    </row>
    <row r="910" spans="1:3" ht="14.25" customHeight="1">
      <c r="A910" s="10"/>
      <c r="B910" s="13"/>
      <c r="C910" s="13"/>
    </row>
    <row r="911" spans="1:3" ht="13.5" customHeight="1">
      <c r="A911" s="43"/>
      <c r="B911" s="42"/>
      <c r="C911" s="12"/>
    </row>
    <row r="912" spans="1:3" ht="69.95" customHeight="1">
      <c r="A912" s="11"/>
      <c r="B912" s="17" t="s">
        <v>31</v>
      </c>
      <c r="C912" s="18"/>
    </row>
    <row r="913" spans="1:3" ht="50.1" customHeight="1">
      <c r="A913" s="10"/>
      <c r="B913" s="24" t="s">
        <v>2</v>
      </c>
      <c r="C913" s="25" t="str">
        <f>IF(応募者入力!$F$96="","",応募者入力!$B$96)</f>
        <v/>
      </c>
    </row>
    <row r="914" spans="1:3" ht="50.1" customHeight="1">
      <c r="A914" s="10"/>
      <c r="B914" s="26" t="s">
        <v>32</v>
      </c>
      <c r="C914" s="27" t="str">
        <f>IF(応募者入力!$F$96="","","(大垣消防組合)")</f>
        <v/>
      </c>
    </row>
    <row r="915" spans="1:3" ht="50.1" customHeight="1">
      <c r="A915" s="10"/>
      <c r="B915" s="28" t="s">
        <v>3</v>
      </c>
      <c r="C915" s="39" t="str">
        <f>IF(応募者入力!$F$96="","",応募者入力!$C$96)</f>
        <v/>
      </c>
    </row>
    <row r="916" spans="1:3" ht="50.1" customHeight="1">
      <c r="A916" s="10"/>
      <c r="B916" s="26" t="s">
        <v>33</v>
      </c>
      <c r="C916" s="40"/>
    </row>
    <row r="917" spans="1:3" ht="50.1" customHeight="1">
      <c r="A917" s="10"/>
      <c r="B917" s="29" t="s">
        <v>5</v>
      </c>
      <c r="C917" s="30" t="str">
        <f>IF(応募者入力!$F$96="","",IFERROR(MID(応募者入力!$E$96,2,1)&amp;"年生",""))</f>
        <v/>
      </c>
    </row>
    <row r="918" spans="1:3" ht="39.950000000000003" customHeight="1">
      <c r="A918" s="10"/>
      <c r="B918" s="28" t="s">
        <v>34</v>
      </c>
      <c r="C918" s="31" t="str">
        <f>IF(応募者入力!$F$96="","",応募者入力!$G$96)</f>
        <v/>
      </c>
    </row>
    <row r="919" spans="1:3" ht="60" customHeight="1">
      <c r="A919" s="10"/>
      <c r="B919" s="32" t="s">
        <v>6</v>
      </c>
      <c r="C919" s="33" t="str">
        <f>IF(応募者入力!$F$96="","",応募者入力!$F$96)</f>
        <v/>
      </c>
    </row>
    <row r="920" spans="1:3" ht="14.25" customHeight="1">
      <c r="A920" s="10"/>
      <c r="B920" s="13"/>
      <c r="C920" s="13"/>
    </row>
    <row r="921" spans="1:3" ht="13.5" customHeight="1">
      <c r="A921" s="43"/>
      <c r="B921" s="42"/>
      <c r="C921" s="12"/>
    </row>
    <row r="922" spans="1:3" ht="69.95" customHeight="1">
      <c r="A922" s="11"/>
      <c r="B922" s="17" t="s">
        <v>31</v>
      </c>
      <c r="C922" s="18"/>
    </row>
    <row r="923" spans="1:3" ht="50.1" customHeight="1">
      <c r="A923" s="10"/>
      <c r="B923" s="24" t="s">
        <v>2</v>
      </c>
      <c r="C923" s="25" t="str">
        <f>IF(応募者入力!$F$97="","",応募者入力!$B$97)</f>
        <v/>
      </c>
    </row>
    <row r="924" spans="1:3" ht="50.1" customHeight="1">
      <c r="A924" s="10"/>
      <c r="B924" s="26" t="s">
        <v>32</v>
      </c>
      <c r="C924" s="27" t="str">
        <f>IF(応募者入力!$F$97="","","(大垣消防組合)")</f>
        <v/>
      </c>
    </row>
    <row r="925" spans="1:3" ht="50.1" customHeight="1">
      <c r="A925" s="10"/>
      <c r="B925" s="28" t="s">
        <v>3</v>
      </c>
      <c r="C925" s="39" t="str">
        <f>IF(応募者入力!$F$97="","",応募者入力!$C$97)</f>
        <v/>
      </c>
    </row>
    <row r="926" spans="1:3" ht="50.1" customHeight="1">
      <c r="A926" s="10"/>
      <c r="B926" s="26" t="s">
        <v>33</v>
      </c>
      <c r="C926" s="40"/>
    </row>
    <row r="927" spans="1:3" ht="50.1" customHeight="1">
      <c r="A927" s="10"/>
      <c r="B927" s="29" t="s">
        <v>5</v>
      </c>
      <c r="C927" s="30" t="str">
        <f>IF(応募者入力!$F$97="","",IFERROR(MID(応募者入力!$E$97,2,1)&amp;"年生",""))</f>
        <v/>
      </c>
    </row>
    <row r="928" spans="1:3" ht="39.950000000000003" customHeight="1">
      <c r="A928" s="10"/>
      <c r="B928" s="28" t="s">
        <v>34</v>
      </c>
      <c r="C928" s="31" t="str">
        <f>IF(応募者入力!$F$97="","",応募者入力!$G$97)</f>
        <v/>
      </c>
    </row>
    <row r="929" spans="1:3" ht="60" customHeight="1">
      <c r="A929" s="10"/>
      <c r="B929" s="32" t="s">
        <v>6</v>
      </c>
      <c r="C929" s="33" t="str">
        <f>IF(応募者入力!$F$97="","",応募者入力!$F$97)</f>
        <v/>
      </c>
    </row>
    <row r="930" spans="1:3" ht="14.25" customHeight="1">
      <c r="A930" s="10"/>
      <c r="B930" s="13"/>
      <c r="C930" s="13"/>
    </row>
    <row r="931" spans="1:3" ht="13.5" customHeight="1">
      <c r="A931" s="43"/>
      <c r="B931" s="42"/>
      <c r="C931" s="12"/>
    </row>
    <row r="932" spans="1:3" ht="69.95" customHeight="1">
      <c r="A932" s="11"/>
      <c r="B932" s="17" t="s">
        <v>31</v>
      </c>
      <c r="C932" s="18"/>
    </row>
    <row r="933" spans="1:3" ht="50.1" customHeight="1">
      <c r="A933" s="10"/>
      <c r="B933" s="24" t="s">
        <v>2</v>
      </c>
      <c r="C933" s="25" t="str">
        <f>IF(応募者入力!$F$98="","",応募者入力!$B$98)</f>
        <v/>
      </c>
    </row>
    <row r="934" spans="1:3" ht="50.1" customHeight="1">
      <c r="A934" s="10"/>
      <c r="B934" s="26" t="s">
        <v>32</v>
      </c>
      <c r="C934" s="27" t="str">
        <f>IF(応募者入力!$F$98="","","(大垣消防組合)")</f>
        <v/>
      </c>
    </row>
    <row r="935" spans="1:3" ht="50.1" customHeight="1">
      <c r="A935" s="10"/>
      <c r="B935" s="28" t="s">
        <v>3</v>
      </c>
      <c r="C935" s="39" t="str">
        <f>IF(応募者入力!$F$98="","",応募者入力!$C$98)</f>
        <v/>
      </c>
    </row>
    <row r="936" spans="1:3" ht="50.1" customHeight="1">
      <c r="A936" s="10"/>
      <c r="B936" s="26" t="s">
        <v>33</v>
      </c>
      <c r="C936" s="40"/>
    </row>
    <row r="937" spans="1:3" ht="50.1" customHeight="1">
      <c r="A937" s="10"/>
      <c r="B937" s="29" t="s">
        <v>5</v>
      </c>
      <c r="C937" s="30" t="str">
        <f>IF(応募者入力!$F$98="","",IFERROR(MID(応募者入力!$E$98,2,1)&amp;"年生",""))</f>
        <v/>
      </c>
    </row>
    <row r="938" spans="1:3" ht="39.950000000000003" customHeight="1">
      <c r="A938" s="10"/>
      <c r="B938" s="28" t="s">
        <v>34</v>
      </c>
      <c r="C938" s="31" t="str">
        <f>IF(応募者入力!$F$98="","",応募者入力!$G$98)</f>
        <v/>
      </c>
    </row>
    <row r="939" spans="1:3" ht="60" customHeight="1">
      <c r="A939" s="10"/>
      <c r="B939" s="32" t="s">
        <v>6</v>
      </c>
      <c r="C939" s="33" t="str">
        <f>IF(応募者入力!$F$98="","",応募者入力!$F$98)</f>
        <v/>
      </c>
    </row>
    <row r="940" spans="1:3" ht="14.25" customHeight="1">
      <c r="A940" s="10"/>
      <c r="B940" s="13"/>
      <c r="C940" s="13"/>
    </row>
    <row r="941" spans="1:3" ht="13.5" customHeight="1">
      <c r="A941" s="43"/>
      <c r="B941" s="42"/>
      <c r="C941" s="12"/>
    </row>
    <row r="942" spans="1:3" ht="69.95" customHeight="1">
      <c r="A942" s="11"/>
      <c r="B942" s="17" t="s">
        <v>31</v>
      </c>
      <c r="C942" s="18"/>
    </row>
    <row r="943" spans="1:3" ht="50.1" customHeight="1">
      <c r="A943" s="10"/>
      <c r="B943" s="24" t="s">
        <v>2</v>
      </c>
      <c r="C943" s="25" t="str">
        <f>IF(応募者入力!$F$99="","",応募者入力!$B$99)</f>
        <v/>
      </c>
    </row>
    <row r="944" spans="1:3" ht="50.1" customHeight="1">
      <c r="A944" s="10"/>
      <c r="B944" s="26" t="s">
        <v>32</v>
      </c>
      <c r="C944" s="27" t="str">
        <f>IF(応募者入力!$F$99="","","(大垣消防組合)")</f>
        <v/>
      </c>
    </row>
    <row r="945" spans="1:3" ht="50.1" customHeight="1">
      <c r="A945" s="10"/>
      <c r="B945" s="28" t="s">
        <v>3</v>
      </c>
      <c r="C945" s="39" t="str">
        <f>IF(応募者入力!$F$99="","",応募者入力!$C$99)</f>
        <v/>
      </c>
    </row>
    <row r="946" spans="1:3" ht="50.1" customHeight="1">
      <c r="A946" s="10"/>
      <c r="B946" s="26" t="s">
        <v>33</v>
      </c>
      <c r="C946" s="40"/>
    </row>
    <row r="947" spans="1:3" ht="50.1" customHeight="1">
      <c r="A947" s="10"/>
      <c r="B947" s="29" t="s">
        <v>5</v>
      </c>
      <c r="C947" s="30" t="str">
        <f>IF(応募者入力!$F$99="","",IFERROR(MID(応募者入力!$E$99,2,1)&amp;"年生",""))</f>
        <v/>
      </c>
    </row>
    <row r="948" spans="1:3" ht="39.950000000000003" customHeight="1">
      <c r="A948" s="10"/>
      <c r="B948" s="28" t="s">
        <v>34</v>
      </c>
      <c r="C948" s="31" t="str">
        <f>IF(応募者入力!$F$99="","",応募者入力!$G$99)</f>
        <v/>
      </c>
    </row>
    <row r="949" spans="1:3" ht="60" customHeight="1">
      <c r="A949" s="10"/>
      <c r="B949" s="32" t="s">
        <v>6</v>
      </c>
      <c r="C949" s="33" t="str">
        <f>IF(応募者入力!$F$99="","",応募者入力!$F$99)</f>
        <v/>
      </c>
    </row>
    <row r="950" spans="1:3" ht="14.25" customHeight="1">
      <c r="A950" s="10"/>
      <c r="B950" s="13"/>
      <c r="C950" s="13"/>
    </row>
    <row r="951" spans="1:3" ht="13.5" customHeight="1">
      <c r="A951" s="43"/>
      <c r="B951" s="42"/>
      <c r="C951" s="12"/>
    </row>
    <row r="952" spans="1:3" ht="69.95" customHeight="1">
      <c r="A952" s="11"/>
      <c r="B952" s="17" t="s">
        <v>31</v>
      </c>
      <c r="C952" s="18"/>
    </row>
    <row r="953" spans="1:3" ht="50.1" customHeight="1">
      <c r="A953" s="10"/>
      <c r="B953" s="24" t="s">
        <v>2</v>
      </c>
      <c r="C953" s="25" t="str">
        <f>IF(応募者入力!$F$100="","",応募者入力!$B$100)</f>
        <v/>
      </c>
    </row>
    <row r="954" spans="1:3" ht="50.1" customHeight="1">
      <c r="A954" s="10"/>
      <c r="B954" s="26" t="s">
        <v>32</v>
      </c>
      <c r="C954" s="27" t="str">
        <f>IF(応募者入力!$F$100="","","(大垣消防組合)")</f>
        <v/>
      </c>
    </row>
    <row r="955" spans="1:3" ht="50.1" customHeight="1">
      <c r="A955" s="10"/>
      <c r="B955" s="28" t="s">
        <v>3</v>
      </c>
      <c r="C955" s="39" t="str">
        <f>IF(応募者入力!$F$100="","",応募者入力!$C$100)</f>
        <v/>
      </c>
    </row>
    <row r="956" spans="1:3" ht="50.1" customHeight="1">
      <c r="A956" s="10"/>
      <c r="B956" s="26" t="s">
        <v>33</v>
      </c>
      <c r="C956" s="40"/>
    </row>
    <row r="957" spans="1:3" ht="50.1" customHeight="1">
      <c r="A957" s="10"/>
      <c r="B957" s="29" t="s">
        <v>5</v>
      </c>
      <c r="C957" s="30" t="str">
        <f>IF(応募者入力!$F$100="","",IFERROR(MID(応募者入力!$E$100,2,1)&amp;"年生",""))</f>
        <v/>
      </c>
    </row>
    <row r="958" spans="1:3" ht="39.950000000000003" customHeight="1">
      <c r="A958" s="10"/>
      <c r="B958" s="28" t="s">
        <v>34</v>
      </c>
      <c r="C958" s="31" t="str">
        <f>IF(応募者入力!$F$100="","",応募者入力!$G$100)</f>
        <v/>
      </c>
    </row>
    <row r="959" spans="1:3" ht="60" customHeight="1">
      <c r="A959" s="10"/>
      <c r="B959" s="32" t="s">
        <v>6</v>
      </c>
      <c r="C959" s="33" t="str">
        <f>IF(応募者入力!$F$100="","",応募者入力!$F$100)</f>
        <v/>
      </c>
    </row>
    <row r="960" spans="1:3" ht="14.25" customHeight="1">
      <c r="A960" s="10"/>
      <c r="B960" s="13"/>
      <c r="C960" s="13"/>
    </row>
    <row r="961" spans="1:3" ht="13.5" customHeight="1">
      <c r="A961" s="43"/>
      <c r="B961" s="42"/>
      <c r="C961" s="12"/>
    </row>
    <row r="962" spans="1:3" ht="69.95" customHeight="1">
      <c r="A962" s="11"/>
      <c r="B962" s="17" t="s">
        <v>31</v>
      </c>
      <c r="C962" s="18"/>
    </row>
    <row r="963" spans="1:3" ht="50.1" customHeight="1">
      <c r="A963" s="10"/>
      <c r="B963" s="24" t="s">
        <v>2</v>
      </c>
      <c r="C963" s="25" t="str">
        <f>IF(応募者入力!$F$101="","",応募者入力!$B$101)</f>
        <v/>
      </c>
    </row>
    <row r="964" spans="1:3" ht="50.1" customHeight="1">
      <c r="A964" s="10"/>
      <c r="B964" s="26" t="s">
        <v>32</v>
      </c>
      <c r="C964" s="27" t="str">
        <f>IF(応募者入力!$F$101="","","(大垣消防組合)")</f>
        <v/>
      </c>
    </row>
    <row r="965" spans="1:3" ht="50.1" customHeight="1">
      <c r="A965" s="10"/>
      <c r="B965" s="28" t="s">
        <v>3</v>
      </c>
      <c r="C965" s="39" t="str">
        <f>IF(応募者入力!$F$101="","",応募者入力!$C$101)</f>
        <v/>
      </c>
    </row>
    <row r="966" spans="1:3" ht="50.1" customHeight="1">
      <c r="A966" s="10"/>
      <c r="B966" s="26" t="s">
        <v>33</v>
      </c>
      <c r="C966" s="40"/>
    </row>
    <row r="967" spans="1:3" ht="50.1" customHeight="1">
      <c r="A967" s="10"/>
      <c r="B967" s="29" t="s">
        <v>5</v>
      </c>
      <c r="C967" s="30" t="str">
        <f>IF(応募者入力!$F$101="","",IFERROR(MID(応募者入力!$E$101,2,1)&amp;"年生",""))</f>
        <v/>
      </c>
    </row>
    <row r="968" spans="1:3" ht="39.950000000000003" customHeight="1">
      <c r="A968" s="10"/>
      <c r="B968" s="28" t="s">
        <v>34</v>
      </c>
      <c r="C968" s="31" t="str">
        <f>IF(応募者入力!$F$101="","",応募者入力!$G$101)</f>
        <v/>
      </c>
    </row>
    <row r="969" spans="1:3" ht="60" customHeight="1">
      <c r="A969" s="10"/>
      <c r="B969" s="32" t="s">
        <v>6</v>
      </c>
      <c r="C969" s="33" t="str">
        <f>IF(応募者入力!$F$101="","",応募者入力!$F$101)</f>
        <v/>
      </c>
    </row>
    <row r="970" spans="1:3" ht="14.25" customHeight="1">
      <c r="A970" s="10"/>
      <c r="B970" s="13"/>
      <c r="C970" s="13"/>
    </row>
    <row r="971" spans="1:3" ht="13.5" customHeight="1">
      <c r="A971" s="43"/>
      <c r="B971" s="42"/>
      <c r="C971" s="12"/>
    </row>
    <row r="972" spans="1:3" ht="69.95" customHeight="1">
      <c r="A972" s="11"/>
      <c r="B972" s="17" t="s">
        <v>31</v>
      </c>
      <c r="C972" s="18"/>
    </row>
    <row r="973" spans="1:3" ht="50.1" customHeight="1">
      <c r="A973" s="10"/>
      <c r="B973" s="24" t="s">
        <v>2</v>
      </c>
      <c r="C973" s="25" t="str">
        <f>IF(応募者入力!$F$102="","",応募者入力!$B$102)</f>
        <v/>
      </c>
    </row>
    <row r="974" spans="1:3" ht="50.1" customHeight="1">
      <c r="A974" s="10"/>
      <c r="B974" s="26" t="s">
        <v>32</v>
      </c>
      <c r="C974" s="27" t="str">
        <f>IF(応募者入力!$F$102="","","(大垣消防組合)")</f>
        <v/>
      </c>
    </row>
    <row r="975" spans="1:3" ht="50.1" customHeight="1">
      <c r="A975" s="10"/>
      <c r="B975" s="28" t="s">
        <v>3</v>
      </c>
      <c r="C975" s="39" t="str">
        <f>IF(応募者入力!$F$102="","",応募者入力!$C$102)</f>
        <v/>
      </c>
    </row>
    <row r="976" spans="1:3" ht="50.1" customHeight="1">
      <c r="A976" s="10"/>
      <c r="B976" s="26" t="s">
        <v>33</v>
      </c>
      <c r="C976" s="40"/>
    </row>
    <row r="977" spans="1:3" ht="50.1" customHeight="1">
      <c r="A977" s="10"/>
      <c r="B977" s="29" t="s">
        <v>5</v>
      </c>
      <c r="C977" s="30" t="str">
        <f>IF(応募者入力!$F$102="","",IFERROR(MID(応募者入力!$E$102,2,1)&amp;"年生",""))</f>
        <v/>
      </c>
    </row>
    <row r="978" spans="1:3" ht="39.950000000000003" customHeight="1">
      <c r="A978" s="10"/>
      <c r="B978" s="28" t="s">
        <v>34</v>
      </c>
      <c r="C978" s="31" t="str">
        <f>IF(応募者入力!$F$102="","",応募者入力!$G$102)</f>
        <v/>
      </c>
    </row>
    <row r="979" spans="1:3" ht="60" customHeight="1">
      <c r="A979" s="10"/>
      <c r="B979" s="32" t="s">
        <v>6</v>
      </c>
      <c r="C979" s="33" t="str">
        <f>IF(応募者入力!$F$102="","",応募者入力!$F$102)</f>
        <v/>
      </c>
    </row>
    <row r="980" spans="1:3" ht="14.25" customHeight="1">
      <c r="A980" s="10"/>
      <c r="B980" s="13"/>
      <c r="C980" s="13"/>
    </row>
    <row r="981" spans="1:3" ht="13.5" customHeight="1">
      <c r="A981" s="43"/>
      <c r="B981" s="42"/>
      <c r="C981" s="12"/>
    </row>
    <row r="982" spans="1:3" ht="69.95" customHeight="1">
      <c r="A982" s="11"/>
      <c r="B982" s="17" t="s">
        <v>31</v>
      </c>
      <c r="C982" s="18"/>
    </row>
    <row r="983" spans="1:3" ht="50.1" customHeight="1">
      <c r="A983" s="10"/>
      <c r="B983" s="24" t="s">
        <v>2</v>
      </c>
      <c r="C983" s="25" t="str">
        <f>IF(応募者入力!$F$103="","",応募者入力!$B$103)</f>
        <v/>
      </c>
    </row>
    <row r="984" spans="1:3" ht="50.1" customHeight="1">
      <c r="A984" s="10"/>
      <c r="B984" s="26" t="s">
        <v>32</v>
      </c>
      <c r="C984" s="27" t="str">
        <f>IF(応募者入力!$F$103="","","(大垣消防組合)")</f>
        <v/>
      </c>
    </row>
    <row r="985" spans="1:3" ht="50.1" customHeight="1">
      <c r="A985" s="10"/>
      <c r="B985" s="28" t="s">
        <v>3</v>
      </c>
      <c r="C985" s="39" t="str">
        <f>IF(応募者入力!$F$103="","",応募者入力!$C$103)</f>
        <v/>
      </c>
    </row>
    <row r="986" spans="1:3" ht="50.1" customHeight="1">
      <c r="A986" s="10"/>
      <c r="B986" s="26" t="s">
        <v>33</v>
      </c>
      <c r="C986" s="40"/>
    </row>
    <row r="987" spans="1:3" ht="50.1" customHeight="1">
      <c r="A987" s="10"/>
      <c r="B987" s="29" t="s">
        <v>5</v>
      </c>
      <c r="C987" s="30" t="str">
        <f>IF(応募者入力!$F$103="","",IFERROR(MID(応募者入力!$E$103,2,1)&amp;"年生",""))</f>
        <v/>
      </c>
    </row>
    <row r="988" spans="1:3" ht="39.950000000000003" customHeight="1">
      <c r="A988" s="10"/>
      <c r="B988" s="28" t="s">
        <v>34</v>
      </c>
      <c r="C988" s="31" t="str">
        <f>IF(応募者入力!$F$103="","",応募者入力!$G$103)</f>
        <v/>
      </c>
    </row>
    <row r="989" spans="1:3" ht="60" customHeight="1">
      <c r="A989" s="10"/>
      <c r="B989" s="32" t="s">
        <v>6</v>
      </c>
      <c r="C989" s="33" t="str">
        <f>IF(応募者入力!$F$103="","",応募者入力!$F$103)</f>
        <v/>
      </c>
    </row>
    <row r="990" spans="1:3" ht="14.25" customHeight="1">
      <c r="A990" s="10"/>
      <c r="B990" s="13"/>
      <c r="C990" s="13"/>
    </row>
    <row r="991" spans="1:3" ht="13.5" customHeight="1">
      <c r="A991" s="43"/>
      <c r="B991" s="42"/>
      <c r="C991" s="12"/>
    </row>
    <row r="992" spans="1:3" ht="69.95" customHeight="1">
      <c r="A992" s="11"/>
      <c r="B992" s="17" t="s">
        <v>31</v>
      </c>
      <c r="C992" s="18"/>
    </row>
    <row r="993" spans="1:3" ht="50.1" customHeight="1">
      <c r="A993" s="10"/>
      <c r="B993" s="24" t="s">
        <v>2</v>
      </c>
      <c r="C993" s="25" t="str">
        <f>IF(応募者入力!$F$104="","",応募者入力!$B$104)</f>
        <v/>
      </c>
    </row>
    <row r="994" spans="1:3" ht="50.1" customHeight="1">
      <c r="A994" s="10"/>
      <c r="B994" s="26" t="s">
        <v>32</v>
      </c>
      <c r="C994" s="27" t="str">
        <f>IF(応募者入力!$F$104="","","(大垣消防組合)")</f>
        <v/>
      </c>
    </row>
    <row r="995" spans="1:3" ht="50.1" customHeight="1">
      <c r="A995" s="10"/>
      <c r="B995" s="28" t="s">
        <v>3</v>
      </c>
      <c r="C995" s="39" t="str">
        <f>IF(応募者入力!$F$104="","",応募者入力!$C$104)</f>
        <v/>
      </c>
    </row>
    <row r="996" spans="1:3" ht="50.1" customHeight="1">
      <c r="A996" s="10"/>
      <c r="B996" s="26" t="s">
        <v>33</v>
      </c>
      <c r="C996" s="40"/>
    </row>
    <row r="997" spans="1:3" ht="50.1" customHeight="1">
      <c r="A997" s="10"/>
      <c r="B997" s="29" t="s">
        <v>5</v>
      </c>
      <c r="C997" s="30" t="str">
        <f>IF(応募者入力!$F$104="","",IFERROR(MID(応募者入力!$E$104,2,1)&amp;"年生",""))</f>
        <v/>
      </c>
    </row>
    <row r="998" spans="1:3" ht="39.950000000000003" customHeight="1">
      <c r="A998" s="10"/>
      <c r="B998" s="28" t="s">
        <v>34</v>
      </c>
      <c r="C998" s="31" t="str">
        <f>IF(応募者入力!$F$104="","",応募者入力!$G$104)</f>
        <v/>
      </c>
    </row>
    <row r="999" spans="1:3" ht="60" customHeight="1">
      <c r="A999" s="10"/>
      <c r="B999" s="32" t="s">
        <v>6</v>
      </c>
      <c r="C999" s="33" t="str">
        <f>IF(応募者入力!$F$104="","",応募者入力!$F$104)</f>
        <v/>
      </c>
    </row>
    <row r="1000" spans="1:3" ht="14.25" customHeight="1">
      <c r="A1000" s="10"/>
      <c r="B1000" s="13"/>
      <c r="C1000" s="13"/>
    </row>
  </sheetData>
  <sheetProtection sheet="1"/>
  <mergeCells count="200">
    <mergeCell ref="A251:B251"/>
    <mergeCell ref="A131:B131"/>
    <mergeCell ref="A171:B171"/>
    <mergeCell ref="C205:C206"/>
    <mergeCell ref="C175:C176"/>
    <mergeCell ref="A181:B181"/>
    <mergeCell ref="C335:C336"/>
    <mergeCell ref="C275:C276"/>
    <mergeCell ref="C665:C666"/>
    <mergeCell ref="A881:B881"/>
    <mergeCell ref="A641:B641"/>
    <mergeCell ref="A681:B681"/>
    <mergeCell ref="C245:C246"/>
    <mergeCell ref="A41:B41"/>
    <mergeCell ref="C705:C706"/>
    <mergeCell ref="A581:B581"/>
    <mergeCell ref="A91:B91"/>
    <mergeCell ref="C145:C146"/>
    <mergeCell ref="A81:B81"/>
    <mergeCell ref="A121:B121"/>
    <mergeCell ref="A161:B161"/>
    <mergeCell ref="A421:B421"/>
    <mergeCell ref="C315:C316"/>
    <mergeCell ref="A191:B191"/>
    <mergeCell ref="A51:B51"/>
    <mergeCell ref="A291:B291"/>
    <mergeCell ref="C225:C226"/>
    <mergeCell ref="C305:C306"/>
    <mergeCell ref="A241:B241"/>
    <mergeCell ref="C85:C86"/>
    <mergeCell ref="C105:C106"/>
    <mergeCell ref="A101:B101"/>
    <mergeCell ref="A961:B961"/>
    <mergeCell ref="C925:C926"/>
    <mergeCell ref="A851:B851"/>
    <mergeCell ref="A611:B611"/>
    <mergeCell ref="A341:B341"/>
    <mergeCell ref="C525:C526"/>
    <mergeCell ref="A501:B501"/>
    <mergeCell ref="A841:B841"/>
    <mergeCell ref="C775:C776"/>
    <mergeCell ref="A751:B751"/>
    <mergeCell ref="A941:B941"/>
    <mergeCell ref="A481:B481"/>
    <mergeCell ref="C765:C766"/>
    <mergeCell ref="C915:C916"/>
    <mergeCell ref="C675:C676"/>
    <mergeCell ref="C385:C386"/>
    <mergeCell ref="A361:B361"/>
    <mergeCell ref="C405:C406"/>
    <mergeCell ref="C435:C436"/>
    <mergeCell ref="A411:B411"/>
    <mergeCell ref="A771:B771"/>
    <mergeCell ref="A371:B371"/>
    <mergeCell ref="C715:C716"/>
    <mergeCell ref="A911:B911"/>
    <mergeCell ref="A821:B821"/>
    <mergeCell ref="A921:B921"/>
    <mergeCell ref="A61:B61"/>
    <mergeCell ref="C475:C476"/>
    <mergeCell ref="C855:C856"/>
    <mergeCell ref="C895:C896"/>
    <mergeCell ref="C65:C66"/>
    <mergeCell ref="A871:B871"/>
    <mergeCell ref="C345:C346"/>
    <mergeCell ref="A891:B891"/>
    <mergeCell ref="C605:C606"/>
    <mergeCell ref="C365:C366"/>
    <mergeCell ref="A381:B381"/>
    <mergeCell ref="C95:C96"/>
    <mergeCell ref="C865:C866"/>
    <mergeCell ref="A71:B71"/>
    <mergeCell ref="C415:C416"/>
    <mergeCell ref="A491:B491"/>
    <mergeCell ref="C425:C426"/>
    <mergeCell ref="A311:B311"/>
    <mergeCell ref="A231:B231"/>
    <mergeCell ref="A861:B861"/>
    <mergeCell ref="A211:B211"/>
    <mergeCell ref="C905:C906"/>
    <mergeCell ref="A981:B981"/>
    <mergeCell ref="A391:B391"/>
    <mergeCell ref="C515:C516"/>
    <mergeCell ref="A811:B811"/>
    <mergeCell ref="A471:B471"/>
    <mergeCell ref="A991:B991"/>
    <mergeCell ref="C465:C466"/>
    <mergeCell ref="A431:B431"/>
    <mergeCell ref="A931:B931"/>
    <mergeCell ref="C575:C576"/>
    <mergeCell ref="A511:B511"/>
    <mergeCell ref="C755:C756"/>
    <mergeCell ref="C485:C486"/>
    <mergeCell ref="C545:C546"/>
    <mergeCell ref="C625:C626"/>
    <mergeCell ref="C795:C796"/>
    <mergeCell ref="C945:C946"/>
    <mergeCell ref="C935:C936"/>
    <mergeCell ref="A671:B671"/>
    <mergeCell ref="A621:B621"/>
    <mergeCell ref="A541:B541"/>
    <mergeCell ref="C985:C986"/>
    <mergeCell ref="C975:C976"/>
    <mergeCell ref="A951:B951"/>
    <mergeCell ref="C825:C826"/>
    <mergeCell ref="A141:B141"/>
    <mergeCell ref="A651:B651"/>
    <mergeCell ref="A1:B1"/>
    <mergeCell ref="A561:B561"/>
    <mergeCell ref="C805:C806"/>
    <mergeCell ref="A741:B741"/>
    <mergeCell ref="C215:C216"/>
    <mergeCell ref="A781:B781"/>
    <mergeCell ref="C115:C116"/>
    <mergeCell ref="C255:C256"/>
    <mergeCell ref="C295:C296"/>
    <mergeCell ref="A271:B271"/>
    <mergeCell ref="A551:B551"/>
    <mergeCell ref="C565:C566"/>
    <mergeCell ref="A531:B531"/>
    <mergeCell ref="A571:B571"/>
    <mergeCell ref="A301:B301"/>
    <mergeCell ref="A21:B21"/>
    <mergeCell ref="C495:C496"/>
    <mergeCell ref="A11:B11"/>
    <mergeCell ref="C595:C596"/>
    <mergeCell ref="C45:C46"/>
    <mergeCell ref="A281:B281"/>
    <mergeCell ref="C285:C286"/>
    <mergeCell ref="A201:B201"/>
    <mergeCell ref="C325:C326"/>
    <mergeCell ref="C5:C6"/>
    <mergeCell ref="A261:B261"/>
    <mergeCell ref="C505:C506"/>
    <mergeCell ref="A441:B441"/>
    <mergeCell ref="A691:B691"/>
    <mergeCell ref="C815:C816"/>
    <mergeCell ref="A731:B731"/>
    <mergeCell ref="C695:C696"/>
    <mergeCell ref="A711:B711"/>
    <mergeCell ref="C185:C186"/>
    <mergeCell ref="A791:B791"/>
    <mergeCell ref="C685:C686"/>
    <mergeCell ref="C725:C726"/>
    <mergeCell ref="C265:C266"/>
    <mergeCell ref="A521:B521"/>
    <mergeCell ref="A701:B701"/>
    <mergeCell ref="A661:B661"/>
    <mergeCell ref="A401:B401"/>
    <mergeCell ref="A111:B111"/>
    <mergeCell ref="A461:B461"/>
    <mergeCell ref="C615:C616"/>
    <mergeCell ref="C585:C586"/>
    <mergeCell ref="C125:C126"/>
    <mergeCell ref="A321:B321"/>
    <mergeCell ref="C655:C656"/>
    <mergeCell ref="A591:B591"/>
    <mergeCell ref="C995:C996"/>
    <mergeCell ref="A831:B831"/>
    <mergeCell ref="A631:B631"/>
    <mergeCell ref="A601:B601"/>
    <mergeCell ref="C355:C356"/>
    <mergeCell ref="C155:C156"/>
    <mergeCell ref="A451:B451"/>
    <mergeCell ref="C745:C746"/>
    <mergeCell ref="A721:B721"/>
    <mergeCell ref="A761:B761"/>
    <mergeCell ref="C965:C966"/>
    <mergeCell ref="C195:C196"/>
    <mergeCell ref="A901:B901"/>
    <mergeCell ref="C235:C236"/>
    <mergeCell ref="A801:B801"/>
    <mergeCell ref="C375:C376"/>
    <mergeCell ref="C735:C736"/>
    <mergeCell ref="C455:C456"/>
    <mergeCell ref="C875:C876"/>
    <mergeCell ref="C15:C16"/>
    <mergeCell ref="C785:C786"/>
    <mergeCell ref="C955:C956"/>
    <mergeCell ref="C555:C556"/>
    <mergeCell ref="A31:B31"/>
    <mergeCell ref="A971:B971"/>
    <mergeCell ref="C445:C446"/>
    <mergeCell ref="C35:C36"/>
    <mergeCell ref="C535:C536"/>
    <mergeCell ref="C75:C76"/>
    <mergeCell ref="A221:B221"/>
    <mergeCell ref="C25:C26"/>
    <mergeCell ref="C645:C646"/>
    <mergeCell ref="C845:C846"/>
    <mergeCell ref="C885:C886"/>
    <mergeCell ref="C55:C56"/>
    <mergeCell ref="C835:C836"/>
    <mergeCell ref="C135:C136"/>
    <mergeCell ref="A351:B351"/>
    <mergeCell ref="A151:B151"/>
    <mergeCell ref="C635:C636"/>
    <mergeCell ref="C395:C396"/>
    <mergeCell ref="A331:B331"/>
    <mergeCell ref="C165:C166"/>
  </mergeCells>
  <phoneticPr fontId="13"/>
  <dataValidations disablePrompts="1" count="1">
    <dataValidation type="whole" sqref="B2" xr:uid="{00000000-0002-0000-0200-000000000000}">
      <formula1>1</formula1>
      <formula2>100</formula2>
    </dataValidation>
  </dataValidations>
  <printOptions horizontalCentered="1" verticalCentered="1"/>
  <pageMargins left="0.70866141732283472" right="0.70866141732283472" top="0.74803149606299213" bottom="0.74803149606299213" header="0.31496062992125978" footer="0.31496062992125978"/>
  <pageSetup paperSize="9" fitToHeight="0" orientation="landscape" blackAndWhite="1" horizontalDpi="4294967293" r:id="rId1"/>
  <rowBreaks count="99" manualBreakCount="99">
    <brk id="10" max="16383" man="1"/>
    <brk id="20" max="16383" man="1"/>
    <brk id="30" max="16383" man="1"/>
    <brk id="40" max="16383" man="1"/>
    <brk id="50" max="16383" man="1"/>
    <brk id="60" max="16383" man="1"/>
    <brk id="70" max="16383" man="1"/>
    <brk id="80" max="16383" man="1"/>
    <brk id="90" max="16383" man="1"/>
    <brk id="100" max="16383" man="1"/>
    <brk id="110" max="16383" man="1"/>
    <brk id="120" max="16383" man="1"/>
    <brk id="130" max="16383" man="1"/>
    <brk id="140" max="16383" man="1"/>
    <brk id="150" max="16383" man="1"/>
    <brk id="160" max="16383" man="1"/>
    <brk id="170" max="16383" man="1"/>
    <brk id="180" max="16383" man="1"/>
    <brk id="190" max="16383" man="1"/>
    <brk id="200" max="16383" man="1"/>
    <brk id="210" max="16383" man="1"/>
    <brk id="220" max="16383" man="1"/>
    <brk id="230" max="16383" man="1"/>
    <brk id="240" max="16383" man="1"/>
    <brk id="250" max="16383" man="1"/>
    <brk id="260" max="16383" man="1"/>
    <brk id="270" max="16383" man="1"/>
    <brk id="280" max="16383" man="1"/>
    <brk id="290" max="16383" man="1"/>
    <brk id="300" max="16383" man="1"/>
    <brk id="310" max="16383" man="1"/>
    <brk id="320" max="16383" man="1"/>
    <brk id="330" max="16383" man="1"/>
    <brk id="340" max="16383" man="1"/>
    <brk id="350" max="16383" man="1"/>
    <brk id="360" max="16383" man="1"/>
    <brk id="370" max="16383" man="1"/>
    <brk id="380" max="16383" man="1"/>
    <brk id="390" max="16383" man="1"/>
    <brk id="400" max="16383" man="1"/>
    <brk id="410" max="16383" man="1"/>
    <brk id="420" max="16383" man="1"/>
    <brk id="430" max="16383" man="1"/>
    <brk id="440" max="16383" man="1"/>
    <brk id="450" max="16383" man="1"/>
    <brk id="460" max="16383" man="1"/>
    <brk id="470" max="16383" man="1"/>
    <brk id="480" max="16383" man="1"/>
    <brk id="490" max="16383" man="1"/>
    <brk id="500" max="16383" man="1"/>
    <brk id="510" max="16383" man="1"/>
    <brk id="520" max="16383" man="1"/>
    <brk id="530" max="16383" man="1"/>
    <brk id="540" max="16383" man="1"/>
    <brk id="550" max="16383" man="1"/>
    <brk id="560" max="16383" man="1"/>
    <brk id="570" max="16383" man="1"/>
    <brk id="580" max="16383" man="1"/>
    <brk id="590" max="16383" man="1"/>
    <brk id="600" max="16383" man="1"/>
    <brk id="610" max="16383" man="1"/>
    <brk id="620" max="16383" man="1"/>
    <brk id="630" max="16383" man="1"/>
    <brk id="640" max="16383" man="1"/>
    <brk id="650" max="16383" man="1"/>
    <brk id="660" max="16383" man="1"/>
    <brk id="670" max="16383" man="1"/>
    <brk id="680" max="16383" man="1"/>
    <brk id="690" max="16383" man="1"/>
    <brk id="700" max="16383" man="1"/>
    <brk id="710" max="16383" man="1"/>
    <brk id="720" max="16383" man="1"/>
    <brk id="730" max="16383" man="1"/>
    <brk id="740" max="16383" man="1"/>
    <brk id="750" max="16383" man="1"/>
    <brk id="760" max="16383" man="1"/>
    <brk id="770" max="16383" man="1"/>
    <brk id="780" max="16383" man="1"/>
    <brk id="790" max="16383" man="1"/>
    <brk id="800" max="16383" man="1"/>
    <brk id="810" max="16383" man="1"/>
    <brk id="820" max="16383" man="1"/>
    <brk id="830" max="16383" man="1"/>
    <brk id="840" max="16383" man="1"/>
    <brk id="850" max="16383" man="1"/>
    <brk id="860" max="16383" man="1"/>
    <brk id="870" max="16383" man="1"/>
    <brk id="880" max="16383" man="1"/>
    <brk id="890" max="16383" man="1"/>
    <brk id="900" max="16383" man="1"/>
    <brk id="910" max="16383" man="1"/>
    <brk id="920" max="16383" man="1"/>
    <brk id="930" max="16383" man="1"/>
    <brk id="940" max="16383" man="1"/>
    <brk id="950" max="16383" man="1"/>
    <brk id="960" max="16383" man="1"/>
    <brk id="970" max="16383" man="1"/>
    <brk id="980" max="16383" man="1"/>
    <brk id="99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84"/>
  <sheetViews>
    <sheetView workbookViewId="0">
      <selection activeCell="F7" sqref="F7"/>
    </sheetView>
  </sheetViews>
  <sheetFormatPr defaultRowHeight="14.25"/>
  <cols>
    <col min="1" max="1" width="6" customWidth="1"/>
    <col min="2" max="2" width="14" customWidth="1"/>
    <col min="3" max="3" width="24" customWidth="1"/>
    <col min="4" max="4" width="12" customWidth="1"/>
    <col min="5" max="5" width="10" customWidth="1"/>
    <col min="6" max="7" width="22" customWidth="1"/>
    <col min="8" max="8" width="14" customWidth="1"/>
  </cols>
  <sheetData>
    <row r="1" spans="1:26" ht="18.75" customHeight="1">
      <c r="A1" s="51" t="s">
        <v>35</v>
      </c>
      <c r="B1" s="44"/>
      <c r="C1" s="44"/>
      <c r="D1" s="44"/>
      <c r="E1" s="44"/>
      <c r="F1" s="44"/>
      <c r="G1" s="44"/>
      <c r="H1" s="4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100000000000001" customHeight="1">
      <c r="A4" s="34">
        <f>IF(応募者入力!F5="","",応募者入力!A5)</f>
        <v>1</v>
      </c>
      <c r="B4" s="34" t="str">
        <f>IF(応募者入力!F5="","",応募者入力!B5)</f>
        <v>大垣市</v>
      </c>
      <c r="C4" s="34" t="str">
        <f>IF(応募者入力!F5="","",応募者入力!C5)</f>
        <v>大垣市立静里小学校</v>
      </c>
      <c r="D4" s="34" t="str">
        <f>IF(応募者入力!F5="","",応募者入力!D5)</f>
        <v>小学校</v>
      </c>
      <c r="E4" s="34" t="str">
        <f>IF(応募者入力!F5="","",応募者入力!E5)</f>
        <v>小2</v>
      </c>
      <c r="F4" s="34" t="str">
        <f>応募者入力!F5</f>
        <v>大垣　太郎</v>
      </c>
      <c r="G4" s="34" t="str">
        <f>応募者入力!G5</f>
        <v>おおがき　たろう</v>
      </c>
      <c r="H4" s="34" t="str">
        <f>応募者入力!I5</f>
        <v>OK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100000000000001" customHeight="1">
      <c r="A5" s="34">
        <f>IF(応募者入力!F6="","",応募者入力!A6)</f>
        <v>2</v>
      </c>
      <c r="B5" s="34" t="str">
        <f>IF(応募者入力!F6="","",応募者入力!B6)</f>
        <v>大垣市</v>
      </c>
      <c r="C5" s="34" t="str">
        <f>IF(応募者入力!F6="","",応募者入力!C6)</f>
        <v>大垣市立静里小学校</v>
      </c>
      <c r="D5" s="34" t="str">
        <f>IF(応募者入力!F6="","",応募者入力!D6)</f>
        <v>小学校</v>
      </c>
      <c r="E5" s="34" t="str">
        <f>IF(応募者入力!F6="","",応募者入力!E6)</f>
        <v>小2</v>
      </c>
      <c r="F5" s="34" t="str">
        <f>応募者入力!F6</f>
        <v>大垣　花子</v>
      </c>
      <c r="G5" s="34" t="str">
        <f>応募者入力!G6</f>
        <v>おおがき　はなこ</v>
      </c>
      <c r="H5" s="34" t="str">
        <f>応募者入力!I6</f>
        <v>OK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100000000000001" customHeight="1">
      <c r="A6" s="34">
        <f>IF(応募者入力!F7="","",応募者入力!A7)</f>
        <v>3</v>
      </c>
      <c r="B6" s="34" t="str">
        <f>IF(応募者入力!F7="","",応募者入力!B7)</f>
        <v>大垣市</v>
      </c>
      <c r="C6" s="34" t="str">
        <f>IF(応募者入力!F7="","",応募者入力!C7)</f>
        <v>大垣市立静里小学校</v>
      </c>
      <c r="D6" s="34" t="str">
        <f>IF(応募者入力!F7="","",応募者入力!D7)</f>
        <v>小学校</v>
      </c>
      <c r="E6" s="34" t="str">
        <f>IF(応募者入力!F7="","",応募者入力!E7)</f>
        <v>小3</v>
      </c>
      <c r="F6" s="34" t="str">
        <f>応募者入力!F7</f>
        <v>田中　恵子</v>
      </c>
      <c r="G6" s="34" t="str">
        <f>応募者入力!G7</f>
        <v>たなか　けいこ</v>
      </c>
      <c r="H6" s="34" t="str">
        <f>応募者入力!I7</f>
        <v>OK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100000000000001" customHeight="1">
      <c r="A7" s="34">
        <f>IF(応募者入力!F8="","",応募者入力!A8)</f>
        <v>4</v>
      </c>
      <c r="B7" s="34" t="str">
        <f>IF(応募者入力!F8="","",応募者入力!B8)</f>
        <v>大垣市</v>
      </c>
      <c r="C7" s="34" t="str">
        <f>IF(応募者入力!F8="","",応募者入力!C8)</f>
        <v>大垣市立静里小学校</v>
      </c>
      <c r="D7" s="34" t="str">
        <f>IF(応募者入力!F8="","",応募者入力!D8)</f>
        <v>小学校</v>
      </c>
      <c r="E7" s="34" t="str">
        <f>IF(応募者入力!F8="","",応募者入力!E8)</f>
        <v>小5</v>
      </c>
      <c r="F7" s="34" t="str">
        <f>応募者入力!F8</f>
        <v>祈祷　なにがし</v>
      </c>
      <c r="G7" s="34" t="str">
        <f>応募者入力!G8</f>
        <v>きとう　なにがし</v>
      </c>
      <c r="H7" s="34" t="str">
        <f>応募者入力!I8</f>
        <v>OK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100000000000001" customHeight="1">
      <c r="A8" s="34">
        <f>IF(応募者入力!F9="","",応募者入力!A9)</f>
        <v>5</v>
      </c>
      <c r="B8" s="34" t="str">
        <f>IF(応募者入力!F9="","",応募者入力!B9)</f>
        <v>大垣市</v>
      </c>
      <c r="C8" s="34" t="str">
        <f>IF(応募者入力!F9="","",応募者入力!C9)</f>
        <v>大垣市立静里小学校</v>
      </c>
      <c r="D8" s="34" t="str">
        <f>IF(応募者入力!F9="","",応募者入力!D9)</f>
        <v>小学校</v>
      </c>
      <c r="E8" s="34" t="str">
        <f>IF(応募者入力!F9="","",応募者入力!E9)</f>
        <v>小6</v>
      </c>
      <c r="F8" s="34" t="str">
        <f>応募者入力!F9</f>
        <v>宮川　つよし</v>
      </c>
      <c r="G8" s="34" t="str">
        <f>応募者入力!G9</f>
        <v>みやがわ　つよし</v>
      </c>
      <c r="H8" s="34" t="str">
        <f>応募者入力!I9</f>
        <v>OK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100000000000001" customHeight="1">
      <c r="A9" s="34">
        <f>IF(応募者入力!F10="","",応募者入力!A10)</f>
        <v>6</v>
      </c>
      <c r="B9" s="34" t="str">
        <f>IF(応募者入力!F10="","",応募者入力!B10)</f>
        <v>大垣市</v>
      </c>
      <c r="C9" s="34" t="str">
        <f>IF(応募者入力!F10="","",応募者入力!C10)</f>
        <v>大垣市立静里小学校</v>
      </c>
      <c r="D9" s="34" t="str">
        <f>IF(応募者入力!F10="","",応募者入力!D10)</f>
        <v>小学校</v>
      </c>
      <c r="E9" s="34" t="str">
        <f>IF(応募者入力!F10="","",応募者入力!E10)</f>
        <v>小6</v>
      </c>
      <c r="F9" s="34" t="str">
        <f>応募者入力!F10</f>
        <v>テスト　太郎</v>
      </c>
      <c r="G9" s="34" t="str">
        <f>応募者入力!G10</f>
        <v>てすと　たろう</v>
      </c>
      <c r="H9" s="34" t="str">
        <f>応募者入力!I10</f>
        <v>OK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100000000000001" customHeight="1">
      <c r="A10" s="34">
        <f>IF(応募者入力!F11="","",応募者入力!A11)</f>
        <v>7</v>
      </c>
      <c r="B10" s="34" t="str">
        <f>IF(応募者入力!F11="","",応募者入力!B11)</f>
        <v>大垣市</v>
      </c>
      <c r="C10" s="34" t="str">
        <f>IF(応募者入力!F11="","",応募者入力!C11)</f>
        <v>大垣市立静里小学校</v>
      </c>
      <c r="D10" s="34" t="str">
        <f>IF(応募者入力!F11="","",応募者入力!D11)</f>
        <v>小学校</v>
      </c>
      <c r="E10" s="34" t="str">
        <f>IF(応募者入力!F11="","",応募者入力!E11)</f>
        <v>小1</v>
      </c>
      <c r="F10" s="34" t="str">
        <f>応募者入力!F11</f>
        <v>大島もとこ</v>
      </c>
      <c r="G10" s="34" t="str">
        <f>応募者入力!G11</f>
        <v>おおしま　もとこ</v>
      </c>
      <c r="H10" s="34" t="str">
        <f>応募者入力!I11</f>
        <v>OK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100000000000001" customHeight="1">
      <c r="A11" s="34" t="str">
        <f>IF(応募者入力!F12="","",応募者入力!A12)</f>
        <v/>
      </c>
      <c r="B11" s="34" t="str">
        <f>IF(応募者入力!F12="","",応募者入力!B12)</f>
        <v/>
      </c>
      <c r="C11" s="34" t="str">
        <f>IF(応募者入力!F12="","",応募者入力!C12)</f>
        <v/>
      </c>
      <c r="D11" s="34" t="str">
        <f>IF(応募者入力!F12="","",応募者入力!D12)</f>
        <v/>
      </c>
      <c r="E11" s="34" t="str">
        <f>IF(応募者入力!F12="","",応募者入力!E12)</f>
        <v/>
      </c>
      <c r="F11" s="34">
        <f>応募者入力!F12</f>
        <v>0</v>
      </c>
      <c r="G11" s="34">
        <f>応募者入力!G12</f>
        <v>0</v>
      </c>
      <c r="H11" s="34" t="str">
        <f>応募者入力!I12</f>
        <v>未入力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100000000000001" customHeight="1">
      <c r="A12" s="34" t="str">
        <f>IF(応募者入力!F13="","",応募者入力!A13)</f>
        <v/>
      </c>
      <c r="B12" s="34" t="str">
        <f>IF(応募者入力!F13="","",応募者入力!B13)</f>
        <v/>
      </c>
      <c r="C12" s="34" t="str">
        <f>IF(応募者入力!F13="","",応募者入力!C13)</f>
        <v/>
      </c>
      <c r="D12" s="34" t="str">
        <f>IF(応募者入力!F13="","",応募者入力!D13)</f>
        <v/>
      </c>
      <c r="E12" s="34" t="str">
        <f>IF(応募者入力!F13="","",応募者入力!E13)</f>
        <v/>
      </c>
      <c r="F12" s="34">
        <f>応募者入力!F13</f>
        <v>0</v>
      </c>
      <c r="G12" s="34">
        <f>応募者入力!G13</f>
        <v>0</v>
      </c>
      <c r="H12" s="34" t="str">
        <f>応募者入力!I13</f>
        <v>未入力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100000000000001" customHeight="1">
      <c r="A13" s="34" t="str">
        <f>IF(応募者入力!F14="","",応募者入力!A14)</f>
        <v/>
      </c>
      <c r="B13" s="34" t="str">
        <f>IF(応募者入力!F14="","",応募者入力!B14)</f>
        <v/>
      </c>
      <c r="C13" s="34" t="str">
        <f>IF(応募者入力!F14="","",応募者入力!C14)</f>
        <v/>
      </c>
      <c r="D13" s="34" t="str">
        <f>IF(応募者入力!F14="","",応募者入力!D14)</f>
        <v/>
      </c>
      <c r="E13" s="34" t="str">
        <f>IF(応募者入力!F14="","",応募者入力!E14)</f>
        <v/>
      </c>
      <c r="F13" s="34">
        <f>応募者入力!F14</f>
        <v>0</v>
      </c>
      <c r="G13" s="34">
        <f>応募者入力!G14</f>
        <v>0</v>
      </c>
      <c r="H13" s="34" t="str">
        <f>応募者入力!I14</f>
        <v>未入力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100000000000001" customHeight="1">
      <c r="A14" s="34" t="str">
        <f>IF(応募者入力!F15="","",応募者入力!A15)</f>
        <v/>
      </c>
      <c r="B14" s="34" t="str">
        <f>IF(応募者入力!F15="","",応募者入力!B15)</f>
        <v/>
      </c>
      <c r="C14" s="34" t="str">
        <f>IF(応募者入力!F15="","",応募者入力!C15)</f>
        <v/>
      </c>
      <c r="D14" s="34" t="str">
        <f>IF(応募者入力!F15="","",応募者入力!D15)</f>
        <v/>
      </c>
      <c r="E14" s="34" t="str">
        <f>IF(応募者入力!F15="","",応募者入力!E15)</f>
        <v/>
      </c>
      <c r="F14" s="34">
        <f>応募者入力!F15</f>
        <v>0</v>
      </c>
      <c r="G14" s="34">
        <f>応募者入力!G15</f>
        <v>0</v>
      </c>
      <c r="H14" s="34" t="str">
        <f>応募者入力!I15</f>
        <v>未入力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100000000000001" customHeight="1">
      <c r="A15" s="34" t="str">
        <f>IF(応募者入力!F16="","",応募者入力!A16)</f>
        <v/>
      </c>
      <c r="B15" s="34" t="str">
        <f>IF(応募者入力!F16="","",応募者入力!B16)</f>
        <v/>
      </c>
      <c r="C15" s="34" t="str">
        <f>IF(応募者入力!F16="","",応募者入力!C16)</f>
        <v/>
      </c>
      <c r="D15" s="34" t="str">
        <f>IF(応募者入力!F16="","",応募者入力!D16)</f>
        <v/>
      </c>
      <c r="E15" s="34" t="str">
        <f>IF(応募者入力!F16="","",応募者入力!E16)</f>
        <v/>
      </c>
      <c r="F15" s="34">
        <f>応募者入力!F16</f>
        <v>0</v>
      </c>
      <c r="G15" s="34">
        <f>応募者入力!G16</f>
        <v>0</v>
      </c>
      <c r="H15" s="34" t="str">
        <f>応募者入力!I16</f>
        <v>未入力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100000000000001" customHeight="1">
      <c r="A16" s="34" t="str">
        <f>IF(応募者入力!F17="","",応募者入力!A17)</f>
        <v/>
      </c>
      <c r="B16" s="34" t="str">
        <f>IF(応募者入力!F17="","",応募者入力!B17)</f>
        <v/>
      </c>
      <c r="C16" s="34" t="str">
        <f>IF(応募者入力!F17="","",応募者入力!C17)</f>
        <v/>
      </c>
      <c r="D16" s="34" t="str">
        <f>IF(応募者入力!F17="","",応募者入力!D17)</f>
        <v/>
      </c>
      <c r="E16" s="34" t="str">
        <f>IF(応募者入力!F17="","",応募者入力!E17)</f>
        <v/>
      </c>
      <c r="F16" s="34">
        <f>応募者入力!F17</f>
        <v>0</v>
      </c>
      <c r="G16" s="34">
        <f>応募者入力!G17</f>
        <v>0</v>
      </c>
      <c r="H16" s="34" t="str">
        <f>応募者入力!I17</f>
        <v>未入力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100000000000001" customHeight="1">
      <c r="A17" s="34" t="str">
        <f>IF(応募者入力!F18="","",応募者入力!A18)</f>
        <v/>
      </c>
      <c r="B17" s="34" t="str">
        <f>IF(応募者入力!F18="","",応募者入力!B18)</f>
        <v/>
      </c>
      <c r="C17" s="34" t="str">
        <f>IF(応募者入力!F18="","",応募者入力!C18)</f>
        <v/>
      </c>
      <c r="D17" s="34" t="str">
        <f>IF(応募者入力!F18="","",応募者入力!D18)</f>
        <v/>
      </c>
      <c r="E17" s="34" t="str">
        <f>IF(応募者入力!F18="","",応募者入力!E18)</f>
        <v/>
      </c>
      <c r="F17" s="34">
        <f>応募者入力!F18</f>
        <v>0</v>
      </c>
      <c r="G17" s="34">
        <f>応募者入力!G18</f>
        <v>0</v>
      </c>
      <c r="H17" s="34" t="str">
        <f>応募者入力!I18</f>
        <v>未入力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100000000000001" customHeight="1">
      <c r="A18" s="34" t="str">
        <f>IF(応募者入力!F19="","",応募者入力!A19)</f>
        <v/>
      </c>
      <c r="B18" s="34" t="str">
        <f>IF(応募者入力!F19="","",応募者入力!B19)</f>
        <v/>
      </c>
      <c r="C18" s="34" t="str">
        <f>IF(応募者入力!F19="","",応募者入力!C19)</f>
        <v/>
      </c>
      <c r="D18" s="34" t="str">
        <f>IF(応募者入力!F19="","",応募者入力!D19)</f>
        <v/>
      </c>
      <c r="E18" s="34" t="str">
        <f>IF(応募者入力!F19="","",応募者入力!E19)</f>
        <v/>
      </c>
      <c r="F18" s="34">
        <f>応募者入力!F19</f>
        <v>0</v>
      </c>
      <c r="G18" s="34">
        <f>応募者入力!G19</f>
        <v>0</v>
      </c>
      <c r="H18" s="34" t="str">
        <f>応募者入力!I19</f>
        <v>未入力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100000000000001" customHeight="1">
      <c r="A19" s="34" t="str">
        <f>IF(応募者入力!F20="","",応募者入力!A20)</f>
        <v/>
      </c>
      <c r="B19" s="34" t="str">
        <f>IF(応募者入力!F20="","",応募者入力!B20)</f>
        <v/>
      </c>
      <c r="C19" s="34" t="str">
        <f>IF(応募者入力!F20="","",応募者入力!C20)</f>
        <v/>
      </c>
      <c r="D19" s="34" t="str">
        <f>IF(応募者入力!F20="","",応募者入力!D20)</f>
        <v/>
      </c>
      <c r="E19" s="34" t="str">
        <f>IF(応募者入力!F20="","",応募者入力!E20)</f>
        <v/>
      </c>
      <c r="F19" s="34">
        <f>応募者入力!F20</f>
        <v>0</v>
      </c>
      <c r="G19" s="34">
        <f>応募者入力!G20</f>
        <v>0</v>
      </c>
      <c r="H19" s="34" t="str">
        <f>応募者入力!I20</f>
        <v>未入力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100000000000001" customHeight="1">
      <c r="A20" s="34" t="str">
        <f>IF(応募者入力!F21="","",応募者入力!A21)</f>
        <v/>
      </c>
      <c r="B20" s="34" t="str">
        <f>IF(応募者入力!F21="","",応募者入力!B21)</f>
        <v/>
      </c>
      <c r="C20" s="34" t="str">
        <f>IF(応募者入力!F21="","",応募者入力!C21)</f>
        <v/>
      </c>
      <c r="D20" s="34" t="str">
        <f>IF(応募者入力!F21="","",応募者入力!D21)</f>
        <v/>
      </c>
      <c r="E20" s="34" t="str">
        <f>IF(応募者入力!F21="","",応募者入力!E21)</f>
        <v/>
      </c>
      <c r="F20" s="34">
        <f>応募者入力!F21</f>
        <v>0</v>
      </c>
      <c r="G20" s="34">
        <f>応募者入力!G21</f>
        <v>0</v>
      </c>
      <c r="H20" s="34" t="str">
        <f>応募者入力!I21</f>
        <v>未入力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100000000000001" customHeight="1">
      <c r="A21" s="34" t="str">
        <f>IF(応募者入力!F22="","",応募者入力!A22)</f>
        <v/>
      </c>
      <c r="B21" s="34" t="str">
        <f>IF(応募者入力!F22="","",応募者入力!B22)</f>
        <v/>
      </c>
      <c r="C21" s="34" t="str">
        <f>IF(応募者入力!F22="","",応募者入力!C22)</f>
        <v/>
      </c>
      <c r="D21" s="34" t="str">
        <f>IF(応募者入力!F22="","",応募者入力!D22)</f>
        <v/>
      </c>
      <c r="E21" s="34" t="str">
        <f>IF(応募者入力!F22="","",応募者入力!E22)</f>
        <v/>
      </c>
      <c r="F21" s="34">
        <f>応募者入力!F22</f>
        <v>0</v>
      </c>
      <c r="G21" s="34">
        <f>応募者入力!G22</f>
        <v>0</v>
      </c>
      <c r="H21" s="34" t="str">
        <f>応募者入力!I22</f>
        <v>未入力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100000000000001" customHeight="1">
      <c r="A22" s="34" t="str">
        <f>IF(応募者入力!F23="","",応募者入力!A23)</f>
        <v/>
      </c>
      <c r="B22" s="34" t="str">
        <f>IF(応募者入力!F23="","",応募者入力!B23)</f>
        <v/>
      </c>
      <c r="C22" s="34" t="str">
        <f>IF(応募者入力!F23="","",応募者入力!C23)</f>
        <v/>
      </c>
      <c r="D22" s="34" t="str">
        <f>IF(応募者入力!F23="","",応募者入力!D23)</f>
        <v/>
      </c>
      <c r="E22" s="34" t="str">
        <f>IF(応募者入力!F23="","",応募者入力!E23)</f>
        <v/>
      </c>
      <c r="F22" s="34">
        <f>応募者入力!F23</f>
        <v>0</v>
      </c>
      <c r="G22" s="34">
        <f>応募者入力!G23</f>
        <v>0</v>
      </c>
      <c r="H22" s="34" t="str">
        <f>応募者入力!I23</f>
        <v>未入力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100000000000001" customHeight="1">
      <c r="A23" s="34" t="str">
        <f>IF(応募者入力!F24="","",応募者入力!A24)</f>
        <v/>
      </c>
      <c r="B23" s="34" t="str">
        <f>IF(応募者入力!F24="","",応募者入力!B24)</f>
        <v/>
      </c>
      <c r="C23" s="34" t="str">
        <f>IF(応募者入力!F24="","",応募者入力!C24)</f>
        <v/>
      </c>
      <c r="D23" s="34" t="str">
        <f>IF(応募者入力!F24="","",応募者入力!D24)</f>
        <v/>
      </c>
      <c r="E23" s="34" t="str">
        <f>IF(応募者入力!F24="","",応募者入力!E24)</f>
        <v/>
      </c>
      <c r="F23" s="34">
        <f>応募者入力!F24</f>
        <v>0</v>
      </c>
      <c r="G23" s="34">
        <f>応募者入力!G24</f>
        <v>0</v>
      </c>
      <c r="H23" s="34" t="str">
        <f>応募者入力!I24</f>
        <v>未入力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100000000000001" customHeight="1">
      <c r="A24" s="34" t="str">
        <f>IF(応募者入力!F25="","",応募者入力!A25)</f>
        <v/>
      </c>
      <c r="B24" s="34" t="str">
        <f>IF(応募者入力!F25="","",応募者入力!B25)</f>
        <v/>
      </c>
      <c r="C24" s="34" t="str">
        <f>IF(応募者入力!F25="","",応募者入力!C25)</f>
        <v/>
      </c>
      <c r="D24" s="34" t="str">
        <f>IF(応募者入力!F25="","",応募者入力!D25)</f>
        <v/>
      </c>
      <c r="E24" s="34" t="str">
        <f>IF(応募者入力!F25="","",応募者入力!E25)</f>
        <v/>
      </c>
      <c r="F24" s="34">
        <f>応募者入力!F25</f>
        <v>0</v>
      </c>
      <c r="G24" s="34">
        <f>応募者入力!G25</f>
        <v>0</v>
      </c>
      <c r="H24" s="34" t="str">
        <f>応募者入力!I25</f>
        <v>未入力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100000000000001" customHeight="1">
      <c r="A25" s="34" t="str">
        <f>IF(応募者入力!F26="","",応募者入力!A26)</f>
        <v/>
      </c>
      <c r="B25" s="34" t="str">
        <f>IF(応募者入力!F26="","",応募者入力!B26)</f>
        <v/>
      </c>
      <c r="C25" s="34" t="str">
        <f>IF(応募者入力!F26="","",応募者入力!C26)</f>
        <v/>
      </c>
      <c r="D25" s="34" t="str">
        <f>IF(応募者入力!F26="","",応募者入力!D26)</f>
        <v/>
      </c>
      <c r="E25" s="34" t="str">
        <f>IF(応募者入力!F26="","",応募者入力!E26)</f>
        <v/>
      </c>
      <c r="F25" s="34">
        <f>応募者入力!F26</f>
        <v>0</v>
      </c>
      <c r="G25" s="34">
        <f>応募者入力!G26</f>
        <v>0</v>
      </c>
      <c r="H25" s="34" t="str">
        <f>応募者入力!I26</f>
        <v>未入力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100000000000001" customHeight="1">
      <c r="A26" s="34" t="str">
        <f>IF(応募者入力!F27="","",応募者入力!A27)</f>
        <v/>
      </c>
      <c r="B26" s="34" t="str">
        <f>IF(応募者入力!F27="","",応募者入力!B27)</f>
        <v/>
      </c>
      <c r="C26" s="34" t="str">
        <f>IF(応募者入力!F27="","",応募者入力!C27)</f>
        <v/>
      </c>
      <c r="D26" s="34" t="str">
        <f>IF(応募者入力!F27="","",応募者入力!D27)</f>
        <v/>
      </c>
      <c r="E26" s="34" t="str">
        <f>IF(応募者入力!F27="","",応募者入力!E27)</f>
        <v/>
      </c>
      <c r="F26" s="34">
        <f>応募者入力!F27</f>
        <v>0</v>
      </c>
      <c r="G26" s="34">
        <f>応募者入力!G27</f>
        <v>0</v>
      </c>
      <c r="H26" s="34" t="str">
        <f>応募者入力!I27</f>
        <v>未入力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100000000000001" customHeight="1">
      <c r="A27" s="34" t="str">
        <f>IF(応募者入力!F28="","",応募者入力!A28)</f>
        <v/>
      </c>
      <c r="B27" s="34" t="str">
        <f>IF(応募者入力!F28="","",応募者入力!B28)</f>
        <v/>
      </c>
      <c r="C27" s="34" t="str">
        <f>IF(応募者入力!F28="","",応募者入力!C28)</f>
        <v/>
      </c>
      <c r="D27" s="34" t="str">
        <f>IF(応募者入力!F28="","",応募者入力!D28)</f>
        <v/>
      </c>
      <c r="E27" s="34" t="str">
        <f>IF(応募者入力!F28="","",応募者入力!E28)</f>
        <v/>
      </c>
      <c r="F27" s="34">
        <f>応募者入力!F28</f>
        <v>0</v>
      </c>
      <c r="G27" s="34">
        <f>応募者入力!G28</f>
        <v>0</v>
      </c>
      <c r="H27" s="34" t="str">
        <f>応募者入力!I28</f>
        <v>未入力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100000000000001" customHeight="1">
      <c r="A28" s="34" t="str">
        <f>IF(応募者入力!F29="","",応募者入力!A29)</f>
        <v/>
      </c>
      <c r="B28" s="34" t="str">
        <f>IF(応募者入力!F29="","",応募者入力!B29)</f>
        <v/>
      </c>
      <c r="C28" s="34" t="str">
        <f>IF(応募者入力!F29="","",応募者入力!C29)</f>
        <v/>
      </c>
      <c r="D28" s="34" t="str">
        <f>IF(応募者入力!F29="","",応募者入力!D29)</f>
        <v/>
      </c>
      <c r="E28" s="34" t="str">
        <f>IF(応募者入力!F29="","",応募者入力!E29)</f>
        <v/>
      </c>
      <c r="F28" s="34">
        <f>応募者入力!F29</f>
        <v>0</v>
      </c>
      <c r="G28" s="34">
        <f>応募者入力!G29</f>
        <v>0</v>
      </c>
      <c r="H28" s="34" t="str">
        <f>応募者入力!I29</f>
        <v>未入力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100000000000001" customHeight="1">
      <c r="A29" s="34" t="str">
        <f>IF(応募者入力!F30="","",応募者入力!A30)</f>
        <v/>
      </c>
      <c r="B29" s="34" t="str">
        <f>IF(応募者入力!F30="","",応募者入力!B30)</f>
        <v/>
      </c>
      <c r="C29" s="34" t="str">
        <f>IF(応募者入力!F30="","",応募者入力!C30)</f>
        <v/>
      </c>
      <c r="D29" s="34" t="str">
        <f>IF(応募者入力!F30="","",応募者入力!D30)</f>
        <v/>
      </c>
      <c r="E29" s="34" t="str">
        <f>IF(応募者入力!F30="","",応募者入力!E30)</f>
        <v/>
      </c>
      <c r="F29" s="34">
        <f>応募者入力!F30</f>
        <v>0</v>
      </c>
      <c r="G29" s="34">
        <f>応募者入力!G30</f>
        <v>0</v>
      </c>
      <c r="H29" s="34" t="str">
        <f>応募者入力!I30</f>
        <v>未入力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100000000000001" customHeight="1">
      <c r="A30" s="34" t="str">
        <f>IF(応募者入力!F31="","",応募者入力!A31)</f>
        <v/>
      </c>
      <c r="B30" s="34" t="str">
        <f>IF(応募者入力!F31="","",応募者入力!B31)</f>
        <v/>
      </c>
      <c r="C30" s="34" t="str">
        <f>IF(応募者入力!F31="","",応募者入力!C31)</f>
        <v/>
      </c>
      <c r="D30" s="34" t="str">
        <f>IF(応募者入力!F31="","",応募者入力!D31)</f>
        <v/>
      </c>
      <c r="E30" s="34" t="str">
        <f>IF(応募者入力!F31="","",応募者入力!E31)</f>
        <v/>
      </c>
      <c r="F30" s="34">
        <f>応募者入力!F31</f>
        <v>0</v>
      </c>
      <c r="G30" s="34">
        <f>応募者入力!G31</f>
        <v>0</v>
      </c>
      <c r="H30" s="34" t="str">
        <f>応募者入力!I31</f>
        <v>未入力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100000000000001" customHeight="1">
      <c r="A31" s="34" t="str">
        <f>IF(応募者入力!F32="","",応募者入力!A32)</f>
        <v/>
      </c>
      <c r="B31" s="34" t="str">
        <f>IF(応募者入力!F32="","",応募者入力!B32)</f>
        <v/>
      </c>
      <c r="C31" s="34" t="str">
        <f>IF(応募者入力!F32="","",応募者入力!C32)</f>
        <v/>
      </c>
      <c r="D31" s="34" t="str">
        <f>IF(応募者入力!F32="","",応募者入力!D32)</f>
        <v/>
      </c>
      <c r="E31" s="34" t="str">
        <f>IF(応募者入力!F32="","",応募者入力!E32)</f>
        <v/>
      </c>
      <c r="F31" s="34">
        <f>応募者入力!F32</f>
        <v>0</v>
      </c>
      <c r="G31" s="34">
        <f>応募者入力!G32</f>
        <v>0</v>
      </c>
      <c r="H31" s="34" t="str">
        <f>応募者入力!I32</f>
        <v>未入力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100000000000001" customHeight="1">
      <c r="A32" s="34" t="str">
        <f>IF(応募者入力!F33="","",応募者入力!A33)</f>
        <v/>
      </c>
      <c r="B32" s="34" t="str">
        <f>IF(応募者入力!F33="","",応募者入力!B33)</f>
        <v/>
      </c>
      <c r="C32" s="34" t="str">
        <f>IF(応募者入力!F33="","",応募者入力!C33)</f>
        <v/>
      </c>
      <c r="D32" s="34" t="str">
        <f>IF(応募者入力!F33="","",応募者入力!D33)</f>
        <v/>
      </c>
      <c r="E32" s="34" t="str">
        <f>IF(応募者入力!F33="","",応募者入力!E33)</f>
        <v/>
      </c>
      <c r="F32" s="34">
        <f>応募者入力!F33</f>
        <v>0</v>
      </c>
      <c r="G32" s="34">
        <f>応募者入力!G33</f>
        <v>0</v>
      </c>
      <c r="H32" s="34" t="str">
        <f>応募者入力!I33</f>
        <v>未入力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100000000000001" customHeight="1">
      <c r="A33" s="34" t="str">
        <f>IF(応募者入力!F34="","",応募者入力!A34)</f>
        <v/>
      </c>
      <c r="B33" s="34" t="str">
        <f>IF(応募者入力!F34="","",応募者入力!B34)</f>
        <v/>
      </c>
      <c r="C33" s="34" t="str">
        <f>IF(応募者入力!F34="","",応募者入力!C34)</f>
        <v/>
      </c>
      <c r="D33" s="34" t="str">
        <f>IF(応募者入力!F34="","",応募者入力!D34)</f>
        <v/>
      </c>
      <c r="E33" s="34" t="str">
        <f>IF(応募者入力!F34="","",応募者入力!E34)</f>
        <v/>
      </c>
      <c r="F33" s="34">
        <f>応募者入力!F34</f>
        <v>0</v>
      </c>
      <c r="G33" s="34">
        <f>応募者入力!G34</f>
        <v>0</v>
      </c>
      <c r="H33" s="34" t="str">
        <f>応募者入力!I34</f>
        <v>未入力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100000000000001" customHeight="1">
      <c r="A34" s="34" t="str">
        <f>IF(応募者入力!F35="","",応募者入力!A35)</f>
        <v/>
      </c>
      <c r="B34" s="34" t="str">
        <f>IF(応募者入力!F35="","",応募者入力!B35)</f>
        <v/>
      </c>
      <c r="C34" s="34" t="str">
        <f>IF(応募者入力!F35="","",応募者入力!C35)</f>
        <v/>
      </c>
      <c r="D34" s="34" t="str">
        <f>IF(応募者入力!F35="","",応募者入力!D35)</f>
        <v/>
      </c>
      <c r="E34" s="34" t="str">
        <f>IF(応募者入力!F35="","",応募者入力!E35)</f>
        <v/>
      </c>
      <c r="F34" s="34">
        <f>応募者入力!F35</f>
        <v>0</v>
      </c>
      <c r="G34" s="34">
        <f>応募者入力!G35</f>
        <v>0</v>
      </c>
      <c r="H34" s="34" t="str">
        <f>応募者入力!I35</f>
        <v>未入力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100000000000001" customHeight="1">
      <c r="A35" s="34" t="str">
        <f>IF(応募者入力!F36="","",応募者入力!A36)</f>
        <v/>
      </c>
      <c r="B35" s="34" t="str">
        <f>IF(応募者入力!F36="","",応募者入力!B36)</f>
        <v/>
      </c>
      <c r="C35" s="34" t="str">
        <f>IF(応募者入力!F36="","",応募者入力!C36)</f>
        <v/>
      </c>
      <c r="D35" s="34" t="str">
        <f>IF(応募者入力!F36="","",応募者入力!D36)</f>
        <v/>
      </c>
      <c r="E35" s="34" t="str">
        <f>IF(応募者入力!F36="","",応募者入力!E36)</f>
        <v/>
      </c>
      <c r="F35" s="34">
        <f>応募者入力!F36</f>
        <v>0</v>
      </c>
      <c r="G35" s="34">
        <f>応募者入力!G36</f>
        <v>0</v>
      </c>
      <c r="H35" s="34" t="str">
        <f>応募者入力!I36</f>
        <v>未入力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100000000000001" customHeight="1">
      <c r="A36" s="34" t="str">
        <f>IF(応募者入力!F37="","",応募者入力!A37)</f>
        <v/>
      </c>
      <c r="B36" s="34" t="str">
        <f>IF(応募者入力!F37="","",応募者入力!B37)</f>
        <v/>
      </c>
      <c r="C36" s="34" t="str">
        <f>IF(応募者入力!F37="","",応募者入力!C37)</f>
        <v/>
      </c>
      <c r="D36" s="34" t="str">
        <f>IF(応募者入力!F37="","",応募者入力!D37)</f>
        <v/>
      </c>
      <c r="E36" s="34" t="str">
        <f>IF(応募者入力!F37="","",応募者入力!E37)</f>
        <v/>
      </c>
      <c r="F36" s="34">
        <f>応募者入力!F37</f>
        <v>0</v>
      </c>
      <c r="G36" s="34">
        <f>応募者入力!G37</f>
        <v>0</v>
      </c>
      <c r="H36" s="34" t="str">
        <f>応募者入力!I37</f>
        <v>未入力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100000000000001" customHeight="1">
      <c r="A37" s="34" t="str">
        <f>IF(応募者入力!F38="","",応募者入力!A38)</f>
        <v/>
      </c>
      <c r="B37" s="34" t="str">
        <f>IF(応募者入力!F38="","",応募者入力!B38)</f>
        <v/>
      </c>
      <c r="C37" s="34" t="str">
        <f>IF(応募者入力!F38="","",応募者入力!C38)</f>
        <v/>
      </c>
      <c r="D37" s="34" t="str">
        <f>IF(応募者入力!F38="","",応募者入力!D38)</f>
        <v/>
      </c>
      <c r="E37" s="34" t="str">
        <f>IF(応募者入力!F38="","",応募者入力!E38)</f>
        <v/>
      </c>
      <c r="F37" s="34">
        <f>応募者入力!F38</f>
        <v>0</v>
      </c>
      <c r="G37" s="34">
        <f>応募者入力!G38</f>
        <v>0</v>
      </c>
      <c r="H37" s="34" t="str">
        <f>応募者入力!I38</f>
        <v>未入力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100000000000001" customHeight="1">
      <c r="A38" s="34" t="str">
        <f>IF(応募者入力!F39="","",応募者入力!A39)</f>
        <v/>
      </c>
      <c r="B38" s="34" t="str">
        <f>IF(応募者入力!F39="","",応募者入力!B39)</f>
        <v/>
      </c>
      <c r="C38" s="34" t="str">
        <f>IF(応募者入力!F39="","",応募者入力!C39)</f>
        <v/>
      </c>
      <c r="D38" s="34" t="str">
        <f>IF(応募者入力!F39="","",応募者入力!D39)</f>
        <v/>
      </c>
      <c r="E38" s="34" t="str">
        <f>IF(応募者入力!F39="","",応募者入力!E39)</f>
        <v/>
      </c>
      <c r="F38" s="34">
        <f>応募者入力!F39</f>
        <v>0</v>
      </c>
      <c r="G38" s="34">
        <f>応募者入力!G39</f>
        <v>0</v>
      </c>
      <c r="H38" s="34" t="str">
        <f>応募者入力!I39</f>
        <v>未入力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100000000000001" customHeight="1">
      <c r="A39" s="34" t="str">
        <f>IF(応募者入力!F40="","",応募者入力!A40)</f>
        <v/>
      </c>
      <c r="B39" s="34" t="str">
        <f>IF(応募者入力!F40="","",応募者入力!B40)</f>
        <v/>
      </c>
      <c r="C39" s="34" t="str">
        <f>IF(応募者入力!F40="","",応募者入力!C40)</f>
        <v/>
      </c>
      <c r="D39" s="34" t="str">
        <f>IF(応募者入力!F40="","",応募者入力!D40)</f>
        <v/>
      </c>
      <c r="E39" s="34" t="str">
        <f>IF(応募者入力!F40="","",応募者入力!E40)</f>
        <v/>
      </c>
      <c r="F39" s="34">
        <f>応募者入力!F40</f>
        <v>0</v>
      </c>
      <c r="G39" s="34">
        <f>応募者入力!G40</f>
        <v>0</v>
      </c>
      <c r="H39" s="34" t="str">
        <f>応募者入力!I40</f>
        <v>未入力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100000000000001" customHeight="1">
      <c r="A40" s="34" t="str">
        <f>IF(応募者入力!F41="","",応募者入力!A41)</f>
        <v/>
      </c>
      <c r="B40" s="34" t="str">
        <f>IF(応募者入力!F41="","",応募者入力!B41)</f>
        <v/>
      </c>
      <c r="C40" s="34" t="str">
        <f>IF(応募者入力!F41="","",応募者入力!C41)</f>
        <v/>
      </c>
      <c r="D40" s="34" t="str">
        <f>IF(応募者入力!F41="","",応募者入力!D41)</f>
        <v/>
      </c>
      <c r="E40" s="34" t="str">
        <f>IF(応募者入力!F41="","",応募者入力!E41)</f>
        <v/>
      </c>
      <c r="F40" s="34">
        <f>応募者入力!F41</f>
        <v>0</v>
      </c>
      <c r="G40" s="34">
        <f>応募者入力!G41</f>
        <v>0</v>
      </c>
      <c r="H40" s="34" t="str">
        <f>応募者入力!I41</f>
        <v>未入力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100000000000001" customHeight="1">
      <c r="A41" s="34" t="str">
        <f>IF(応募者入力!F42="","",応募者入力!A42)</f>
        <v/>
      </c>
      <c r="B41" s="34" t="str">
        <f>IF(応募者入力!F42="","",応募者入力!B42)</f>
        <v/>
      </c>
      <c r="C41" s="34" t="str">
        <f>IF(応募者入力!F42="","",応募者入力!C42)</f>
        <v/>
      </c>
      <c r="D41" s="34" t="str">
        <f>IF(応募者入力!F42="","",応募者入力!D42)</f>
        <v/>
      </c>
      <c r="E41" s="34" t="str">
        <f>IF(応募者入力!F42="","",応募者入力!E42)</f>
        <v/>
      </c>
      <c r="F41" s="34">
        <f>応募者入力!F42</f>
        <v>0</v>
      </c>
      <c r="G41" s="34">
        <f>応募者入力!G42</f>
        <v>0</v>
      </c>
      <c r="H41" s="34" t="str">
        <f>応募者入力!I42</f>
        <v>未入力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100000000000001" customHeight="1">
      <c r="A42" s="34" t="str">
        <f>IF(応募者入力!F43="","",応募者入力!A43)</f>
        <v/>
      </c>
      <c r="B42" s="34" t="str">
        <f>IF(応募者入力!F43="","",応募者入力!B43)</f>
        <v/>
      </c>
      <c r="C42" s="34" t="str">
        <f>IF(応募者入力!F43="","",応募者入力!C43)</f>
        <v/>
      </c>
      <c r="D42" s="34" t="str">
        <f>IF(応募者入力!F43="","",応募者入力!D43)</f>
        <v/>
      </c>
      <c r="E42" s="34" t="str">
        <f>IF(応募者入力!F43="","",応募者入力!E43)</f>
        <v/>
      </c>
      <c r="F42" s="34">
        <f>応募者入力!F43</f>
        <v>0</v>
      </c>
      <c r="G42" s="34">
        <f>応募者入力!G43</f>
        <v>0</v>
      </c>
      <c r="H42" s="34" t="str">
        <f>応募者入力!I43</f>
        <v>未入力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100000000000001" customHeight="1">
      <c r="A43" s="34" t="str">
        <f>IF(応募者入力!F44="","",応募者入力!A44)</f>
        <v/>
      </c>
      <c r="B43" s="34" t="str">
        <f>IF(応募者入力!F44="","",応募者入力!B44)</f>
        <v/>
      </c>
      <c r="C43" s="34" t="str">
        <f>IF(応募者入力!F44="","",応募者入力!C44)</f>
        <v/>
      </c>
      <c r="D43" s="34" t="str">
        <f>IF(応募者入力!F44="","",応募者入力!D44)</f>
        <v/>
      </c>
      <c r="E43" s="34" t="str">
        <f>IF(応募者入力!F44="","",応募者入力!E44)</f>
        <v/>
      </c>
      <c r="F43" s="34">
        <f>応募者入力!F44</f>
        <v>0</v>
      </c>
      <c r="G43" s="34">
        <f>応募者入力!G44</f>
        <v>0</v>
      </c>
      <c r="H43" s="34" t="str">
        <f>応募者入力!I44</f>
        <v>未入力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100000000000001" customHeight="1">
      <c r="A44" s="34" t="str">
        <f>IF(応募者入力!F45="","",応募者入力!A45)</f>
        <v/>
      </c>
      <c r="B44" s="34" t="str">
        <f>IF(応募者入力!F45="","",応募者入力!B45)</f>
        <v/>
      </c>
      <c r="C44" s="34" t="str">
        <f>IF(応募者入力!F45="","",応募者入力!C45)</f>
        <v/>
      </c>
      <c r="D44" s="34" t="str">
        <f>IF(応募者入力!F45="","",応募者入力!D45)</f>
        <v/>
      </c>
      <c r="E44" s="34" t="str">
        <f>IF(応募者入力!F45="","",応募者入力!E45)</f>
        <v/>
      </c>
      <c r="F44" s="34">
        <f>応募者入力!F45</f>
        <v>0</v>
      </c>
      <c r="G44" s="34">
        <f>応募者入力!G45</f>
        <v>0</v>
      </c>
      <c r="H44" s="34" t="str">
        <f>応募者入力!I45</f>
        <v>未入力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100000000000001" customHeight="1">
      <c r="A45" s="34" t="str">
        <f>IF(応募者入力!F46="","",応募者入力!A46)</f>
        <v/>
      </c>
      <c r="B45" s="34" t="str">
        <f>IF(応募者入力!F46="","",応募者入力!B46)</f>
        <v/>
      </c>
      <c r="C45" s="34" t="str">
        <f>IF(応募者入力!F46="","",応募者入力!C46)</f>
        <v/>
      </c>
      <c r="D45" s="34" t="str">
        <f>IF(応募者入力!F46="","",応募者入力!D46)</f>
        <v/>
      </c>
      <c r="E45" s="34" t="str">
        <f>IF(応募者入力!F46="","",応募者入力!E46)</f>
        <v/>
      </c>
      <c r="F45" s="34">
        <f>応募者入力!F46</f>
        <v>0</v>
      </c>
      <c r="G45" s="34">
        <f>応募者入力!G46</f>
        <v>0</v>
      </c>
      <c r="H45" s="34" t="str">
        <f>応募者入力!I46</f>
        <v>未入力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100000000000001" customHeight="1">
      <c r="A46" s="34" t="str">
        <f>IF(応募者入力!F47="","",応募者入力!A47)</f>
        <v/>
      </c>
      <c r="B46" s="34" t="str">
        <f>IF(応募者入力!F47="","",応募者入力!B47)</f>
        <v/>
      </c>
      <c r="C46" s="34" t="str">
        <f>IF(応募者入力!F47="","",応募者入力!C47)</f>
        <v/>
      </c>
      <c r="D46" s="34" t="str">
        <f>IF(応募者入力!F47="","",応募者入力!D47)</f>
        <v/>
      </c>
      <c r="E46" s="34" t="str">
        <f>IF(応募者入力!F47="","",応募者入力!E47)</f>
        <v/>
      </c>
      <c r="F46" s="34">
        <f>応募者入力!F47</f>
        <v>0</v>
      </c>
      <c r="G46" s="34">
        <f>応募者入力!G47</f>
        <v>0</v>
      </c>
      <c r="H46" s="34" t="str">
        <f>応募者入力!I47</f>
        <v>未入力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100000000000001" customHeight="1">
      <c r="A47" s="34" t="str">
        <f>IF(応募者入力!F48="","",応募者入力!A48)</f>
        <v/>
      </c>
      <c r="B47" s="34" t="str">
        <f>IF(応募者入力!F48="","",応募者入力!B48)</f>
        <v/>
      </c>
      <c r="C47" s="34" t="str">
        <f>IF(応募者入力!F48="","",応募者入力!C48)</f>
        <v/>
      </c>
      <c r="D47" s="34" t="str">
        <f>IF(応募者入力!F48="","",応募者入力!D48)</f>
        <v/>
      </c>
      <c r="E47" s="34" t="str">
        <f>IF(応募者入力!F48="","",応募者入力!E48)</f>
        <v/>
      </c>
      <c r="F47" s="34">
        <f>応募者入力!F48</f>
        <v>0</v>
      </c>
      <c r="G47" s="34">
        <f>応募者入力!G48</f>
        <v>0</v>
      </c>
      <c r="H47" s="34" t="str">
        <f>応募者入力!I48</f>
        <v>未入力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100000000000001" customHeight="1">
      <c r="A48" s="34" t="str">
        <f>IF(応募者入力!F49="","",応募者入力!A49)</f>
        <v/>
      </c>
      <c r="B48" s="34" t="str">
        <f>IF(応募者入力!F49="","",応募者入力!B49)</f>
        <v/>
      </c>
      <c r="C48" s="34" t="str">
        <f>IF(応募者入力!F49="","",応募者入力!C49)</f>
        <v/>
      </c>
      <c r="D48" s="34" t="str">
        <f>IF(応募者入力!F49="","",応募者入力!D49)</f>
        <v/>
      </c>
      <c r="E48" s="34" t="str">
        <f>IF(応募者入力!F49="","",応募者入力!E49)</f>
        <v/>
      </c>
      <c r="F48" s="34">
        <f>応募者入力!F49</f>
        <v>0</v>
      </c>
      <c r="G48" s="34">
        <f>応募者入力!G49</f>
        <v>0</v>
      </c>
      <c r="H48" s="34" t="str">
        <f>応募者入力!I49</f>
        <v>未入力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100000000000001" customHeight="1">
      <c r="A49" s="34" t="str">
        <f>IF(応募者入力!F50="","",応募者入力!A50)</f>
        <v/>
      </c>
      <c r="B49" s="34" t="str">
        <f>IF(応募者入力!F50="","",応募者入力!B50)</f>
        <v/>
      </c>
      <c r="C49" s="34" t="str">
        <f>IF(応募者入力!F50="","",応募者入力!C50)</f>
        <v/>
      </c>
      <c r="D49" s="34" t="str">
        <f>IF(応募者入力!F50="","",応募者入力!D50)</f>
        <v/>
      </c>
      <c r="E49" s="34" t="str">
        <f>IF(応募者入力!F50="","",応募者入力!E50)</f>
        <v/>
      </c>
      <c r="F49" s="34">
        <f>応募者入力!F50</f>
        <v>0</v>
      </c>
      <c r="G49" s="34">
        <f>応募者入力!G50</f>
        <v>0</v>
      </c>
      <c r="H49" s="34" t="str">
        <f>応募者入力!I50</f>
        <v>未入力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.100000000000001" customHeight="1">
      <c r="A50" s="34" t="str">
        <f>IF(応募者入力!F51="","",応募者入力!A51)</f>
        <v/>
      </c>
      <c r="B50" s="34" t="str">
        <f>IF(応募者入力!F51="","",応募者入力!B51)</f>
        <v/>
      </c>
      <c r="C50" s="34" t="str">
        <f>IF(応募者入力!F51="","",応募者入力!C51)</f>
        <v/>
      </c>
      <c r="D50" s="34" t="str">
        <f>IF(応募者入力!F51="","",応募者入力!D51)</f>
        <v/>
      </c>
      <c r="E50" s="34" t="str">
        <f>IF(応募者入力!F51="","",応募者入力!E51)</f>
        <v/>
      </c>
      <c r="F50" s="34">
        <f>応募者入力!F51</f>
        <v>0</v>
      </c>
      <c r="G50" s="34">
        <f>応募者入力!G51</f>
        <v>0</v>
      </c>
      <c r="H50" s="34" t="str">
        <f>応募者入力!I51</f>
        <v>未入力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100000000000001" customHeight="1">
      <c r="A51" s="34" t="str">
        <f>IF(応募者入力!F52="","",応募者入力!A52)</f>
        <v/>
      </c>
      <c r="B51" s="34" t="str">
        <f>IF(応募者入力!F52="","",応募者入力!B52)</f>
        <v/>
      </c>
      <c r="C51" s="34" t="str">
        <f>IF(応募者入力!F52="","",応募者入力!C52)</f>
        <v/>
      </c>
      <c r="D51" s="34" t="str">
        <f>IF(応募者入力!F52="","",応募者入力!D52)</f>
        <v/>
      </c>
      <c r="E51" s="34" t="str">
        <f>IF(応募者入力!F52="","",応募者入力!E52)</f>
        <v/>
      </c>
      <c r="F51" s="34">
        <f>応募者入力!F52</f>
        <v>0</v>
      </c>
      <c r="G51" s="34">
        <f>応募者入力!G52</f>
        <v>0</v>
      </c>
      <c r="H51" s="34" t="str">
        <f>応募者入力!I52</f>
        <v>未入力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100000000000001" customHeight="1">
      <c r="A52" s="34" t="str">
        <f>IF(応募者入力!F53="","",応募者入力!A53)</f>
        <v/>
      </c>
      <c r="B52" s="34" t="str">
        <f>IF(応募者入力!F53="","",応募者入力!B53)</f>
        <v/>
      </c>
      <c r="C52" s="34" t="str">
        <f>IF(応募者入力!F53="","",応募者入力!C53)</f>
        <v/>
      </c>
      <c r="D52" s="34" t="str">
        <f>IF(応募者入力!F53="","",応募者入力!D53)</f>
        <v/>
      </c>
      <c r="E52" s="34" t="str">
        <f>IF(応募者入力!F53="","",応募者入力!E53)</f>
        <v/>
      </c>
      <c r="F52" s="34">
        <f>応募者入力!F53</f>
        <v>0</v>
      </c>
      <c r="G52" s="34">
        <f>応募者入力!G53</f>
        <v>0</v>
      </c>
      <c r="H52" s="34" t="str">
        <f>応募者入力!I53</f>
        <v>未入力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.100000000000001" customHeight="1">
      <c r="A53" s="34" t="str">
        <f>IF(応募者入力!F54="","",応募者入力!A54)</f>
        <v/>
      </c>
      <c r="B53" s="34" t="str">
        <f>IF(応募者入力!F54="","",応募者入力!B54)</f>
        <v/>
      </c>
      <c r="C53" s="34" t="str">
        <f>IF(応募者入力!F54="","",応募者入力!C54)</f>
        <v/>
      </c>
      <c r="D53" s="34" t="str">
        <f>IF(応募者入力!F54="","",応募者入力!D54)</f>
        <v/>
      </c>
      <c r="E53" s="34" t="str">
        <f>IF(応募者入力!F54="","",応募者入力!E54)</f>
        <v/>
      </c>
      <c r="F53" s="34">
        <f>応募者入力!F54</f>
        <v>0</v>
      </c>
      <c r="G53" s="34">
        <f>応募者入力!G54</f>
        <v>0</v>
      </c>
      <c r="H53" s="34" t="str">
        <f>応募者入力!I54</f>
        <v>未入力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customHeight="1">
      <c r="A54" s="34" t="str">
        <f>IF(応募者入力!F55="","",応募者入力!A55)</f>
        <v/>
      </c>
      <c r="B54" s="34" t="str">
        <f>IF(応募者入力!F55="","",応募者入力!B55)</f>
        <v/>
      </c>
      <c r="C54" s="34" t="str">
        <f>IF(応募者入力!F55="","",応募者入力!C55)</f>
        <v/>
      </c>
      <c r="D54" s="34" t="str">
        <f>IF(応募者入力!F55="","",応募者入力!D55)</f>
        <v/>
      </c>
      <c r="E54" s="34" t="str">
        <f>IF(応募者入力!F55="","",応募者入力!E55)</f>
        <v/>
      </c>
      <c r="F54" s="34">
        <f>応募者入力!F55</f>
        <v>0</v>
      </c>
      <c r="G54" s="34">
        <f>応募者入力!G55</f>
        <v>0</v>
      </c>
      <c r="H54" s="34" t="str">
        <f>応募者入力!I55</f>
        <v>未入力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>
      <c r="A55" s="34" t="str">
        <f>IF(応募者入力!F56="","",応募者入力!A56)</f>
        <v/>
      </c>
      <c r="B55" s="34" t="str">
        <f>IF(応募者入力!F56="","",応募者入力!B56)</f>
        <v/>
      </c>
      <c r="C55" s="34" t="str">
        <f>IF(応募者入力!F56="","",応募者入力!C56)</f>
        <v/>
      </c>
      <c r="D55" s="34" t="str">
        <f>IF(応募者入力!F56="","",応募者入力!D56)</f>
        <v/>
      </c>
      <c r="E55" s="34" t="str">
        <f>IF(応募者入力!F56="","",応募者入力!E56)</f>
        <v/>
      </c>
      <c r="F55" s="34">
        <f>応募者入力!F56</f>
        <v>0</v>
      </c>
      <c r="G55" s="34">
        <f>応募者入力!G56</f>
        <v>0</v>
      </c>
      <c r="H55" s="34" t="str">
        <f>応募者入力!I56</f>
        <v>未入力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>
      <c r="A56" s="34" t="str">
        <f>IF(応募者入力!F57="","",応募者入力!A57)</f>
        <v/>
      </c>
      <c r="B56" s="34" t="str">
        <f>IF(応募者入力!F57="","",応募者入力!B57)</f>
        <v/>
      </c>
      <c r="C56" s="34" t="str">
        <f>IF(応募者入力!F57="","",応募者入力!C57)</f>
        <v/>
      </c>
      <c r="D56" s="34" t="str">
        <f>IF(応募者入力!F57="","",応募者入力!D57)</f>
        <v/>
      </c>
      <c r="E56" s="34" t="str">
        <f>IF(応募者入力!F57="","",応募者入力!E57)</f>
        <v/>
      </c>
      <c r="F56" s="34">
        <f>応募者入力!F57</f>
        <v>0</v>
      </c>
      <c r="G56" s="34">
        <f>応募者入力!G57</f>
        <v>0</v>
      </c>
      <c r="H56" s="34" t="str">
        <f>応募者入力!I57</f>
        <v>未入力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>
      <c r="A57" s="34" t="str">
        <f>IF(応募者入力!F58="","",応募者入力!A58)</f>
        <v/>
      </c>
      <c r="B57" s="34" t="str">
        <f>IF(応募者入力!F58="","",応募者入力!B58)</f>
        <v/>
      </c>
      <c r="C57" s="34" t="str">
        <f>IF(応募者入力!F58="","",応募者入力!C58)</f>
        <v/>
      </c>
      <c r="D57" s="34" t="str">
        <f>IF(応募者入力!F58="","",応募者入力!D58)</f>
        <v/>
      </c>
      <c r="E57" s="34" t="str">
        <f>IF(応募者入力!F58="","",応募者入力!E58)</f>
        <v/>
      </c>
      <c r="F57" s="34">
        <f>応募者入力!F58</f>
        <v>0</v>
      </c>
      <c r="G57" s="34">
        <f>応募者入力!G58</f>
        <v>0</v>
      </c>
      <c r="H57" s="34" t="str">
        <f>応募者入力!I58</f>
        <v>未入力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>
      <c r="A58" s="34" t="str">
        <f>IF(応募者入力!F59="","",応募者入力!A59)</f>
        <v/>
      </c>
      <c r="B58" s="34" t="str">
        <f>IF(応募者入力!F59="","",応募者入力!B59)</f>
        <v/>
      </c>
      <c r="C58" s="34" t="str">
        <f>IF(応募者入力!F59="","",応募者入力!C59)</f>
        <v/>
      </c>
      <c r="D58" s="34" t="str">
        <f>IF(応募者入力!F59="","",応募者入力!D59)</f>
        <v/>
      </c>
      <c r="E58" s="34" t="str">
        <f>IF(応募者入力!F59="","",応募者入力!E59)</f>
        <v/>
      </c>
      <c r="F58" s="34">
        <f>応募者入力!F59</f>
        <v>0</v>
      </c>
      <c r="G58" s="34">
        <f>応募者入力!G59</f>
        <v>0</v>
      </c>
      <c r="H58" s="34" t="str">
        <f>応募者入力!I59</f>
        <v>未入力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>
      <c r="A59" s="34" t="str">
        <f>IF(応募者入力!F60="","",応募者入力!A60)</f>
        <v/>
      </c>
      <c r="B59" s="34" t="str">
        <f>IF(応募者入力!F60="","",応募者入力!B60)</f>
        <v/>
      </c>
      <c r="C59" s="34" t="str">
        <f>IF(応募者入力!F60="","",応募者入力!C60)</f>
        <v/>
      </c>
      <c r="D59" s="34" t="str">
        <f>IF(応募者入力!F60="","",応募者入力!D60)</f>
        <v/>
      </c>
      <c r="E59" s="34" t="str">
        <f>IF(応募者入力!F60="","",応募者入力!E60)</f>
        <v/>
      </c>
      <c r="F59" s="34">
        <f>応募者入力!F60</f>
        <v>0</v>
      </c>
      <c r="G59" s="34">
        <f>応募者入力!G60</f>
        <v>0</v>
      </c>
      <c r="H59" s="34" t="str">
        <f>応募者入力!I60</f>
        <v>未入力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>
      <c r="A60" s="34" t="str">
        <f>IF(応募者入力!F61="","",応募者入力!A61)</f>
        <v/>
      </c>
      <c r="B60" s="34" t="str">
        <f>IF(応募者入力!F61="","",応募者入力!B61)</f>
        <v/>
      </c>
      <c r="C60" s="34" t="str">
        <f>IF(応募者入力!F61="","",応募者入力!C61)</f>
        <v/>
      </c>
      <c r="D60" s="34" t="str">
        <f>IF(応募者入力!F61="","",応募者入力!D61)</f>
        <v/>
      </c>
      <c r="E60" s="34" t="str">
        <f>IF(応募者入力!F61="","",応募者入力!E61)</f>
        <v/>
      </c>
      <c r="F60" s="34">
        <f>応募者入力!F61</f>
        <v>0</v>
      </c>
      <c r="G60" s="34">
        <f>応募者入力!G61</f>
        <v>0</v>
      </c>
      <c r="H60" s="34" t="str">
        <f>応募者入力!I61</f>
        <v>未入力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customHeight="1">
      <c r="A61" s="34" t="str">
        <f>IF(応募者入力!F62="","",応募者入力!A62)</f>
        <v/>
      </c>
      <c r="B61" s="34" t="str">
        <f>IF(応募者入力!F62="","",応募者入力!B62)</f>
        <v/>
      </c>
      <c r="C61" s="34" t="str">
        <f>IF(応募者入力!F62="","",応募者入力!C62)</f>
        <v/>
      </c>
      <c r="D61" s="34" t="str">
        <f>IF(応募者入力!F62="","",応募者入力!D62)</f>
        <v/>
      </c>
      <c r="E61" s="34" t="str">
        <f>IF(応募者入力!F62="","",応募者入力!E62)</f>
        <v/>
      </c>
      <c r="F61" s="34">
        <f>応募者入力!F62</f>
        <v>0</v>
      </c>
      <c r="G61" s="34">
        <f>応募者入力!G62</f>
        <v>0</v>
      </c>
      <c r="H61" s="34" t="str">
        <f>応募者入力!I62</f>
        <v>未入力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34" t="str">
        <f>IF(応募者入力!F63="","",応募者入力!A63)</f>
        <v/>
      </c>
      <c r="B62" s="34" t="str">
        <f>IF(応募者入力!F63="","",応募者入力!B63)</f>
        <v/>
      </c>
      <c r="C62" s="34" t="str">
        <f>IF(応募者入力!F63="","",応募者入力!C63)</f>
        <v/>
      </c>
      <c r="D62" s="34" t="str">
        <f>IF(応募者入力!F63="","",応募者入力!D63)</f>
        <v/>
      </c>
      <c r="E62" s="34" t="str">
        <f>IF(応募者入力!F63="","",応募者入力!E63)</f>
        <v/>
      </c>
      <c r="F62" s="34">
        <f>応募者入力!F63</f>
        <v>0</v>
      </c>
      <c r="G62" s="34">
        <f>応募者入力!G63</f>
        <v>0</v>
      </c>
      <c r="H62" s="34" t="str">
        <f>応募者入力!I63</f>
        <v>未入力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customHeight="1">
      <c r="A63" s="34" t="str">
        <f>IF(応募者入力!F64="","",応募者入力!A64)</f>
        <v/>
      </c>
      <c r="B63" s="34" t="str">
        <f>IF(応募者入力!F64="","",応募者入力!B64)</f>
        <v/>
      </c>
      <c r="C63" s="34" t="str">
        <f>IF(応募者入力!F64="","",応募者入力!C64)</f>
        <v/>
      </c>
      <c r="D63" s="34" t="str">
        <f>IF(応募者入力!F64="","",応募者入力!D64)</f>
        <v/>
      </c>
      <c r="E63" s="34" t="str">
        <f>IF(応募者入力!F64="","",応募者入力!E64)</f>
        <v/>
      </c>
      <c r="F63" s="34">
        <f>応募者入力!F64</f>
        <v>0</v>
      </c>
      <c r="G63" s="34">
        <f>応募者入力!G64</f>
        <v>0</v>
      </c>
      <c r="H63" s="34" t="str">
        <f>応募者入力!I64</f>
        <v>未入力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 customHeight="1">
      <c r="A64" s="34" t="str">
        <f>IF(応募者入力!F65="","",応募者入力!A65)</f>
        <v/>
      </c>
      <c r="B64" s="34" t="str">
        <f>IF(応募者入力!F65="","",応募者入力!B65)</f>
        <v/>
      </c>
      <c r="C64" s="34" t="str">
        <f>IF(応募者入力!F65="","",応募者入力!C65)</f>
        <v/>
      </c>
      <c r="D64" s="34" t="str">
        <f>IF(応募者入力!F65="","",応募者入力!D65)</f>
        <v/>
      </c>
      <c r="E64" s="34" t="str">
        <f>IF(応募者入力!F65="","",応募者入力!E65)</f>
        <v/>
      </c>
      <c r="F64" s="34">
        <f>応募者入力!F65</f>
        <v>0</v>
      </c>
      <c r="G64" s="34">
        <f>応募者入力!G65</f>
        <v>0</v>
      </c>
      <c r="H64" s="34" t="str">
        <f>応募者入力!I65</f>
        <v>未入力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customHeight="1">
      <c r="A65" s="34" t="str">
        <f>IF(応募者入力!F66="","",応募者入力!A66)</f>
        <v/>
      </c>
      <c r="B65" s="34" t="str">
        <f>IF(応募者入力!F66="","",応募者入力!B66)</f>
        <v/>
      </c>
      <c r="C65" s="34" t="str">
        <f>IF(応募者入力!F66="","",応募者入力!C66)</f>
        <v/>
      </c>
      <c r="D65" s="34" t="str">
        <f>IF(応募者入力!F66="","",応募者入力!D66)</f>
        <v/>
      </c>
      <c r="E65" s="34" t="str">
        <f>IF(応募者入力!F66="","",応募者入力!E66)</f>
        <v/>
      </c>
      <c r="F65" s="34">
        <f>応募者入力!F66</f>
        <v>0</v>
      </c>
      <c r="G65" s="34">
        <f>応募者入力!G66</f>
        <v>0</v>
      </c>
      <c r="H65" s="34" t="str">
        <f>応募者入力!I66</f>
        <v>未入力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customHeight="1">
      <c r="A66" s="34" t="str">
        <f>IF(応募者入力!F67="","",応募者入力!A67)</f>
        <v/>
      </c>
      <c r="B66" s="34" t="str">
        <f>IF(応募者入力!F67="","",応募者入力!B67)</f>
        <v/>
      </c>
      <c r="C66" s="34" t="str">
        <f>IF(応募者入力!F67="","",応募者入力!C67)</f>
        <v/>
      </c>
      <c r="D66" s="34" t="str">
        <f>IF(応募者入力!F67="","",応募者入力!D67)</f>
        <v/>
      </c>
      <c r="E66" s="34" t="str">
        <f>IF(応募者入力!F67="","",応募者入力!E67)</f>
        <v/>
      </c>
      <c r="F66" s="34">
        <f>応募者入力!F67</f>
        <v>0</v>
      </c>
      <c r="G66" s="34">
        <f>応募者入力!G67</f>
        <v>0</v>
      </c>
      <c r="H66" s="34" t="str">
        <f>応募者入力!I67</f>
        <v>未入力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 customHeight="1">
      <c r="A67" s="34" t="str">
        <f>IF(応募者入力!F68="","",応募者入力!A68)</f>
        <v/>
      </c>
      <c r="B67" s="34" t="str">
        <f>IF(応募者入力!F68="","",応募者入力!B68)</f>
        <v/>
      </c>
      <c r="C67" s="34" t="str">
        <f>IF(応募者入力!F68="","",応募者入力!C68)</f>
        <v/>
      </c>
      <c r="D67" s="34" t="str">
        <f>IF(応募者入力!F68="","",応募者入力!D68)</f>
        <v/>
      </c>
      <c r="E67" s="34" t="str">
        <f>IF(応募者入力!F68="","",応募者入力!E68)</f>
        <v/>
      </c>
      <c r="F67" s="34">
        <f>応募者入力!F68</f>
        <v>0</v>
      </c>
      <c r="G67" s="34">
        <f>応募者入力!G68</f>
        <v>0</v>
      </c>
      <c r="H67" s="34" t="str">
        <f>応募者入力!I68</f>
        <v>未入力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>
      <c r="A68" s="34" t="str">
        <f>IF(応募者入力!F69="","",応募者入力!A69)</f>
        <v/>
      </c>
      <c r="B68" s="34" t="str">
        <f>IF(応募者入力!F69="","",応募者入力!B69)</f>
        <v/>
      </c>
      <c r="C68" s="34" t="str">
        <f>IF(応募者入力!F69="","",応募者入力!C69)</f>
        <v/>
      </c>
      <c r="D68" s="34" t="str">
        <f>IF(応募者入力!F69="","",応募者入力!D69)</f>
        <v/>
      </c>
      <c r="E68" s="34" t="str">
        <f>IF(応募者入力!F69="","",応募者入力!E69)</f>
        <v/>
      </c>
      <c r="F68" s="34">
        <f>応募者入力!F69</f>
        <v>0</v>
      </c>
      <c r="G68" s="34">
        <f>応募者入力!G69</f>
        <v>0</v>
      </c>
      <c r="H68" s="34" t="str">
        <f>応募者入力!I69</f>
        <v>未入力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customHeight="1">
      <c r="A69" s="34" t="str">
        <f>IF(応募者入力!F70="","",応募者入力!A70)</f>
        <v/>
      </c>
      <c r="B69" s="34" t="str">
        <f>IF(応募者入力!F70="","",応募者入力!B70)</f>
        <v/>
      </c>
      <c r="C69" s="34" t="str">
        <f>IF(応募者入力!F70="","",応募者入力!C70)</f>
        <v/>
      </c>
      <c r="D69" s="34" t="str">
        <f>IF(応募者入力!F70="","",応募者入力!D70)</f>
        <v/>
      </c>
      <c r="E69" s="34" t="str">
        <f>IF(応募者入力!F70="","",応募者入力!E70)</f>
        <v/>
      </c>
      <c r="F69" s="34">
        <f>応募者入力!F70</f>
        <v>0</v>
      </c>
      <c r="G69" s="34">
        <f>応募者入力!G70</f>
        <v>0</v>
      </c>
      <c r="H69" s="34" t="str">
        <f>応募者入力!I70</f>
        <v>未入力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customHeight="1">
      <c r="A70" s="34" t="str">
        <f>IF(応募者入力!F71="","",応募者入力!A71)</f>
        <v/>
      </c>
      <c r="B70" s="34" t="str">
        <f>IF(応募者入力!F71="","",応募者入力!B71)</f>
        <v/>
      </c>
      <c r="C70" s="34" t="str">
        <f>IF(応募者入力!F71="","",応募者入力!C71)</f>
        <v/>
      </c>
      <c r="D70" s="34" t="str">
        <f>IF(応募者入力!F71="","",応募者入力!D71)</f>
        <v/>
      </c>
      <c r="E70" s="34" t="str">
        <f>IF(応募者入力!F71="","",応募者入力!E71)</f>
        <v/>
      </c>
      <c r="F70" s="34">
        <f>応募者入力!F71</f>
        <v>0</v>
      </c>
      <c r="G70" s="34">
        <f>応募者入力!G71</f>
        <v>0</v>
      </c>
      <c r="H70" s="34" t="str">
        <f>応募者入力!I71</f>
        <v>未入力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>
      <c r="A71" s="34" t="str">
        <f>IF(応募者入力!F72="","",応募者入力!A72)</f>
        <v/>
      </c>
      <c r="B71" s="34" t="str">
        <f>IF(応募者入力!F72="","",応募者入力!B72)</f>
        <v/>
      </c>
      <c r="C71" s="34" t="str">
        <f>IF(応募者入力!F72="","",応募者入力!C72)</f>
        <v/>
      </c>
      <c r="D71" s="34" t="str">
        <f>IF(応募者入力!F72="","",応募者入力!D72)</f>
        <v/>
      </c>
      <c r="E71" s="34" t="str">
        <f>IF(応募者入力!F72="","",応募者入力!E72)</f>
        <v/>
      </c>
      <c r="F71" s="34">
        <f>応募者入力!F72</f>
        <v>0</v>
      </c>
      <c r="G71" s="34">
        <f>応募者入力!G72</f>
        <v>0</v>
      </c>
      <c r="H71" s="34" t="str">
        <f>応募者入力!I72</f>
        <v>未入力</v>
      </c>
    </row>
    <row r="72" spans="1:26" ht="18.75">
      <c r="A72" s="34" t="str">
        <f>IF(応募者入力!F73="","",応募者入力!A73)</f>
        <v/>
      </c>
      <c r="B72" s="34" t="str">
        <f>IF(応募者入力!F73="","",応募者入力!B73)</f>
        <v/>
      </c>
      <c r="C72" s="34" t="str">
        <f>IF(応募者入力!F73="","",応募者入力!C73)</f>
        <v/>
      </c>
      <c r="D72" s="34" t="str">
        <f>IF(応募者入力!F73="","",応募者入力!D73)</f>
        <v/>
      </c>
      <c r="E72" s="34" t="str">
        <f>IF(応募者入力!F73="","",応募者入力!E73)</f>
        <v/>
      </c>
      <c r="F72" s="34">
        <f>応募者入力!F73</f>
        <v>0</v>
      </c>
      <c r="G72" s="34">
        <f>応募者入力!G73</f>
        <v>0</v>
      </c>
      <c r="H72" s="34" t="str">
        <f>応募者入力!I73</f>
        <v>未入力</v>
      </c>
    </row>
    <row r="73" spans="1:26" ht="18.75">
      <c r="A73" s="34" t="str">
        <f>IF(応募者入力!F74="","",応募者入力!A74)</f>
        <v/>
      </c>
      <c r="B73" s="34" t="str">
        <f>IF(応募者入力!F74="","",応募者入力!B74)</f>
        <v/>
      </c>
      <c r="C73" s="34" t="str">
        <f>IF(応募者入力!F74="","",応募者入力!C74)</f>
        <v/>
      </c>
      <c r="D73" s="34" t="str">
        <f>IF(応募者入力!F74="","",応募者入力!D74)</f>
        <v/>
      </c>
      <c r="E73" s="34" t="str">
        <f>IF(応募者入力!F74="","",応募者入力!E74)</f>
        <v/>
      </c>
      <c r="F73" s="34">
        <f>応募者入力!F74</f>
        <v>0</v>
      </c>
      <c r="G73" s="34">
        <f>応募者入力!G74</f>
        <v>0</v>
      </c>
      <c r="H73" s="34" t="str">
        <f>応募者入力!I74</f>
        <v>未入力</v>
      </c>
    </row>
    <row r="74" spans="1:26" ht="18.75">
      <c r="A74" s="34" t="str">
        <f>IF(応募者入力!F75="","",応募者入力!A75)</f>
        <v/>
      </c>
      <c r="B74" s="34" t="str">
        <f>IF(応募者入力!F75="","",応募者入力!B75)</f>
        <v/>
      </c>
      <c r="C74" s="34" t="str">
        <f>IF(応募者入力!F75="","",応募者入力!C75)</f>
        <v/>
      </c>
      <c r="D74" s="34" t="str">
        <f>IF(応募者入力!F75="","",応募者入力!D75)</f>
        <v/>
      </c>
      <c r="E74" s="34" t="str">
        <f>IF(応募者入力!F75="","",応募者入力!E75)</f>
        <v/>
      </c>
      <c r="F74" s="34">
        <f>応募者入力!F75</f>
        <v>0</v>
      </c>
      <c r="G74" s="34">
        <f>応募者入力!G75</f>
        <v>0</v>
      </c>
      <c r="H74" s="34" t="str">
        <f>応募者入力!I75</f>
        <v>未入力</v>
      </c>
    </row>
    <row r="75" spans="1:26" ht="18.75">
      <c r="A75" s="34" t="str">
        <f>IF(応募者入力!F76="","",応募者入力!A76)</f>
        <v/>
      </c>
      <c r="B75" s="34" t="str">
        <f>IF(応募者入力!F76="","",応募者入力!B76)</f>
        <v/>
      </c>
      <c r="C75" s="34" t="str">
        <f>IF(応募者入力!F76="","",応募者入力!C76)</f>
        <v/>
      </c>
      <c r="D75" s="34" t="str">
        <f>IF(応募者入力!F76="","",応募者入力!D76)</f>
        <v/>
      </c>
      <c r="E75" s="34" t="str">
        <f>IF(応募者入力!F76="","",応募者入力!E76)</f>
        <v/>
      </c>
      <c r="F75" s="34">
        <f>応募者入力!F76</f>
        <v>0</v>
      </c>
      <c r="G75" s="34">
        <f>応募者入力!G76</f>
        <v>0</v>
      </c>
      <c r="H75" s="34" t="str">
        <f>応募者入力!I76</f>
        <v>未入力</v>
      </c>
    </row>
    <row r="76" spans="1:26" ht="18.75">
      <c r="A76" s="34" t="str">
        <f>IF(応募者入力!F77="","",応募者入力!A77)</f>
        <v/>
      </c>
      <c r="B76" s="34" t="str">
        <f>IF(応募者入力!F77="","",応募者入力!B77)</f>
        <v/>
      </c>
      <c r="C76" s="34" t="str">
        <f>IF(応募者入力!F77="","",応募者入力!C77)</f>
        <v/>
      </c>
      <c r="D76" s="34" t="str">
        <f>IF(応募者入力!F77="","",応募者入力!D77)</f>
        <v/>
      </c>
      <c r="E76" s="34" t="str">
        <f>IF(応募者入力!F77="","",応募者入力!E77)</f>
        <v/>
      </c>
      <c r="F76" s="34">
        <f>応募者入力!F77</f>
        <v>0</v>
      </c>
      <c r="G76" s="34">
        <f>応募者入力!G77</f>
        <v>0</v>
      </c>
      <c r="H76" s="34" t="str">
        <f>応募者入力!I77</f>
        <v>未入力</v>
      </c>
    </row>
    <row r="77" spans="1:26" ht="18.75">
      <c r="A77" s="34" t="str">
        <f>IF(応募者入力!F78="","",応募者入力!A78)</f>
        <v/>
      </c>
      <c r="B77" s="34" t="str">
        <f>IF(応募者入力!F78="","",応募者入力!B78)</f>
        <v/>
      </c>
      <c r="C77" s="34" t="str">
        <f>IF(応募者入力!F78="","",応募者入力!C78)</f>
        <v/>
      </c>
      <c r="D77" s="34" t="str">
        <f>IF(応募者入力!F78="","",応募者入力!D78)</f>
        <v/>
      </c>
      <c r="E77" s="34" t="str">
        <f>IF(応募者入力!F78="","",応募者入力!E78)</f>
        <v/>
      </c>
      <c r="F77" s="34">
        <f>応募者入力!F78</f>
        <v>0</v>
      </c>
      <c r="G77" s="34">
        <f>応募者入力!G78</f>
        <v>0</v>
      </c>
      <c r="H77" s="34" t="str">
        <f>応募者入力!I78</f>
        <v>未入力</v>
      </c>
    </row>
    <row r="78" spans="1:26" ht="18.75">
      <c r="A78" s="34" t="str">
        <f>IF(応募者入力!F79="","",応募者入力!A79)</f>
        <v/>
      </c>
      <c r="B78" s="34" t="str">
        <f>IF(応募者入力!F79="","",応募者入力!B79)</f>
        <v/>
      </c>
      <c r="C78" s="34" t="str">
        <f>IF(応募者入力!F79="","",応募者入力!C79)</f>
        <v/>
      </c>
      <c r="D78" s="34" t="str">
        <f>IF(応募者入力!F79="","",応募者入力!D79)</f>
        <v/>
      </c>
      <c r="E78" s="34" t="str">
        <f>IF(応募者入力!F79="","",応募者入力!E79)</f>
        <v/>
      </c>
      <c r="F78" s="34">
        <f>応募者入力!F79</f>
        <v>0</v>
      </c>
      <c r="G78" s="34">
        <f>応募者入力!G79</f>
        <v>0</v>
      </c>
      <c r="H78" s="34" t="str">
        <f>応募者入力!I79</f>
        <v>未入力</v>
      </c>
    </row>
    <row r="79" spans="1:26" ht="18.75">
      <c r="A79" s="34" t="str">
        <f>IF(応募者入力!F80="","",応募者入力!A80)</f>
        <v/>
      </c>
      <c r="B79" s="34" t="str">
        <f>IF(応募者入力!F80="","",応募者入力!B80)</f>
        <v/>
      </c>
      <c r="C79" s="34" t="str">
        <f>IF(応募者入力!F80="","",応募者入力!C80)</f>
        <v/>
      </c>
      <c r="D79" s="34" t="str">
        <f>IF(応募者入力!F80="","",応募者入力!D80)</f>
        <v/>
      </c>
      <c r="E79" s="34" t="str">
        <f>IF(応募者入力!F80="","",応募者入力!E80)</f>
        <v/>
      </c>
      <c r="F79" s="34">
        <f>応募者入力!F80</f>
        <v>0</v>
      </c>
      <c r="G79" s="34">
        <f>応募者入力!G80</f>
        <v>0</v>
      </c>
      <c r="H79" s="34" t="str">
        <f>応募者入力!I80</f>
        <v>未入力</v>
      </c>
    </row>
    <row r="80" spans="1:26" ht="18.75">
      <c r="A80" s="34" t="str">
        <f>IF(応募者入力!F81="","",応募者入力!A81)</f>
        <v/>
      </c>
      <c r="B80" s="34" t="str">
        <f>IF(応募者入力!F81="","",応募者入力!B81)</f>
        <v/>
      </c>
      <c r="C80" s="34" t="str">
        <f>IF(応募者入力!F81="","",応募者入力!C81)</f>
        <v/>
      </c>
      <c r="D80" s="34" t="str">
        <f>IF(応募者入力!F81="","",応募者入力!D81)</f>
        <v/>
      </c>
      <c r="E80" s="34" t="str">
        <f>IF(応募者入力!F81="","",応募者入力!E81)</f>
        <v/>
      </c>
      <c r="F80" s="34">
        <f>応募者入力!F81</f>
        <v>0</v>
      </c>
      <c r="G80" s="34">
        <f>応募者入力!G81</f>
        <v>0</v>
      </c>
      <c r="H80" s="34" t="str">
        <f>応募者入力!I81</f>
        <v>未入力</v>
      </c>
    </row>
    <row r="81" spans="1:8" ht="18.75">
      <c r="A81" s="34" t="str">
        <f>IF(応募者入力!F82="","",応募者入力!A82)</f>
        <v/>
      </c>
      <c r="B81" s="34" t="str">
        <f>IF(応募者入力!F82="","",応募者入力!B82)</f>
        <v/>
      </c>
      <c r="C81" s="34" t="str">
        <f>IF(応募者入力!F82="","",応募者入力!C82)</f>
        <v/>
      </c>
      <c r="D81" s="34" t="str">
        <f>IF(応募者入力!F82="","",応募者入力!D82)</f>
        <v/>
      </c>
      <c r="E81" s="34" t="str">
        <f>IF(応募者入力!F82="","",応募者入力!E82)</f>
        <v/>
      </c>
      <c r="F81" s="34">
        <f>応募者入力!F82</f>
        <v>0</v>
      </c>
      <c r="G81" s="34">
        <f>応募者入力!G82</f>
        <v>0</v>
      </c>
      <c r="H81" s="34" t="str">
        <f>応募者入力!I82</f>
        <v>未入力</v>
      </c>
    </row>
    <row r="82" spans="1:8" ht="18.75">
      <c r="A82" s="34" t="str">
        <f>IF(応募者入力!F83="","",応募者入力!A83)</f>
        <v/>
      </c>
      <c r="B82" s="34" t="str">
        <f>IF(応募者入力!F83="","",応募者入力!B83)</f>
        <v/>
      </c>
      <c r="C82" s="34" t="str">
        <f>IF(応募者入力!F83="","",応募者入力!C83)</f>
        <v/>
      </c>
      <c r="D82" s="34" t="str">
        <f>IF(応募者入力!F83="","",応募者入力!D83)</f>
        <v/>
      </c>
      <c r="E82" s="34" t="str">
        <f>IF(応募者入力!F83="","",応募者入力!E83)</f>
        <v/>
      </c>
      <c r="F82" s="34">
        <f>応募者入力!F83</f>
        <v>0</v>
      </c>
      <c r="G82" s="34">
        <f>応募者入力!G83</f>
        <v>0</v>
      </c>
      <c r="H82" s="34" t="str">
        <f>応募者入力!I83</f>
        <v>未入力</v>
      </c>
    </row>
    <row r="83" spans="1:8" ht="18.75">
      <c r="A83" s="34" t="str">
        <f>IF(応募者入力!F84="","",応募者入力!A84)</f>
        <v/>
      </c>
      <c r="B83" s="34" t="str">
        <f>IF(応募者入力!F84="","",応募者入力!B84)</f>
        <v/>
      </c>
      <c r="C83" s="34" t="str">
        <f>IF(応募者入力!F84="","",応募者入力!C84)</f>
        <v/>
      </c>
      <c r="D83" s="34" t="str">
        <f>IF(応募者入力!F84="","",応募者入力!D84)</f>
        <v/>
      </c>
      <c r="E83" s="34" t="str">
        <f>IF(応募者入力!F84="","",応募者入力!E84)</f>
        <v/>
      </c>
      <c r="F83" s="34">
        <f>応募者入力!F84</f>
        <v>0</v>
      </c>
      <c r="G83" s="34">
        <f>応募者入力!G84</f>
        <v>0</v>
      </c>
      <c r="H83" s="34" t="str">
        <f>応募者入力!I84</f>
        <v>未入力</v>
      </c>
    </row>
    <row r="84" spans="1:8" ht="18.75">
      <c r="A84" s="34" t="str">
        <f>IF(応募者入力!F85="","",応募者入力!A85)</f>
        <v/>
      </c>
      <c r="B84" s="34" t="str">
        <f>IF(応募者入力!F85="","",応募者入力!B85)</f>
        <v/>
      </c>
      <c r="C84" s="34" t="str">
        <f>IF(応募者入力!F85="","",応募者入力!C85)</f>
        <v/>
      </c>
      <c r="D84" s="34" t="str">
        <f>IF(応募者入力!F85="","",応募者入力!D85)</f>
        <v/>
      </c>
      <c r="E84" s="34" t="str">
        <f>IF(応募者入力!F85="","",応募者入力!E85)</f>
        <v/>
      </c>
      <c r="F84" s="34">
        <f>応募者入力!F85</f>
        <v>0</v>
      </c>
      <c r="G84" s="34">
        <f>応募者入力!G85</f>
        <v>0</v>
      </c>
      <c r="H84" s="34" t="str">
        <f>応募者入力!I85</f>
        <v>未入力</v>
      </c>
    </row>
  </sheetData>
  <sheetProtection sheet="1" objects="1" scenarios="1"/>
  <mergeCells count="1">
    <mergeCell ref="A1:H1"/>
  </mergeCells>
  <phoneticPr fontId="1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Z120"/>
  <sheetViews>
    <sheetView workbookViewId="0">
      <selection activeCell="B5" sqref="B5"/>
    </sheetView>
  </sheetViews>
  <sheetFormatPr defaultRowHeight="14.25"/>
  <cols>
    <col min="1" max="1" width="14" customWidth="1"/>
    <col min="2" max="2" width="10" customWidth="1"/>
    <col min="3" max="3" width="12" customWidth="1"/>
    <col min="4" max="5" width="14" customWidth="1"/>
    <col min="6" max="6" width="28" customWidth="1"/>
  </cols>
  <sheetData>
    <row r="1" spans="1:26" ht="18.75" customHeight="1">
      <c r="A1" s="51" t="s">
        <v>36</v>
      </c>
      <c r="B1" s="44"/>
      <c r="C1" s="44"/>
      <c r="D1" s="44"/>
      <c r="E1" s="44"/>
      <c r="F1" s="4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14" t="s">
        <v>37</v>
      </c>
      <c r="B3" s="14" t="s">
        <v>5</v>
      </c>
      <c r="C3" s="14" t="s">
        <v>38</v>
      </c>
      <c r="D3" s="14" t="s">
        <v>39</v>
      </c>
      <c r="E3" s="14" t="s">
        <v>40</v>
      </c>
      <c r="F3" s="14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15" t="s">
        <v>41</v>
      </c>
      <c r="B4" s="15" t="s">
        <v>91</v>
      </c>
      <c r="C4" s="34">
        <f>COUNTIF(応募者入力!$E$5:$E$54,B4)</f>
        <v>1</v>
      </c>
      <c r="D4" s="34">
        <f>COUNTIFS(応募者入力!$E$5:$E$54,B4,応募者入力!$I$5:$I$54,"未入力あり")</f>
        <v>0</v>
      </c>
      <c r="E4" s="34">
        <f>COUNTIFS(応募者入力!$E$5:$E$54,B4,応募者入力!$I$5:$I$54,"重複確認")</f>
        <v>0</v>
      </c>
      <c r="F4" s="1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5" t="s">
        <v>41</v>
      </c>
      <c r="B5" s="15" t="s">
        <v>43</v>
      </c>
      <c r="C5" s="34">
        <f>COUNTIF(応募者入力!$E$5:$E$54,B5)</f>
        <v>2</v>
      </c>
      <c r="D5" s="34">
        <f>COUNTIFS(応募者入力!$E$5:$E$54,B5,応募者入力!$I$5:$I$54,"未入力あり")</f>
        <v>0</v>
      </c>
      <c r="E5" s="34">
        <f>COUNTIFS(応募者入力!$E$5:$E$54,B5,応募者入力!$I$5:$I$54,"重複確認")</f>
        <v>0</v>
      </c>
      <c r="F5" s="1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15" t="s">
        <v>41</v>
      </c>
      <c r="B6" s="15" t="s">
        <v>44</v>
      </c>
      <c r="C6" s="34">
        <f>COUNTIF(応募者入力!$E$5:$E$54,B6)</f>
        <v>1</v>
      </c>
      <c r="D6" s="34">
        <f>COUNTIFS(応募者入力!$E$5:$E$54,B6,応募者入力!$I$5:$I$54,"未入力あり")</f>
        <v>0</v>
      </c>
      <c r="E6" s="34">
        <f>COUNTIFS(応募者入力!$E$5:$E$54,B6,応募者入力!$I$5:$I$54,"重複確認")</f>
        <v>0</v>
      </c>
      <c r="F6" s="1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15" t="s">
        <v>41</v>
      </c>
      <c r="B7" s="15" t="s">
        <v>45</v>
      </c>
      <c r="C7" s="34">
        <f>COUNTIF(応募者入力!$E$5:$E$54,B7)</f>
        <v>0</v>
      </c>
      <c r="D7" s="34">
        <f>COUNTIFS(応募者入力!$E$5:$E$54,B7,応募者入力!$I$5:$I$54,"未入力あり")</f>
        <v>0</v>
      </c>
      <c r="E7" s="34">
        <f>COUNTIFS(応募者入力!$E$5:$E$54,B7,応募者入力!$I$5:$I$54,"重複確認")</f>
        <v>0</v>
      </c>
      <c r="F7" s="1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15" t="s">
        <v>41</v>
      </c>
      <c r="B8" s="15" t="s">
        <v>46</v>
      </c>
      <c r="C8" s="34">
        <f>COUNTIF(応募者入力!$E$5:$E$54,B8)</f>
        <v>1</v>
      </c>
      <c r="D8" s="34">
        <f>COUNTIFS(応募者入力!$E$5:$E$54,B8,応募者入力!$I$5:$I$54,"未入力あり")</f>
        <v>0</v>
      </c>
      <c r="E8" s="34">
        <f>COUNTIFS(応募者入力!$E$5:$E$54,B8,応募者入力!$I$5:$I$54,"重複確認")</f>
        <v>0</v>
      </c>
      <c r="F8" s="1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15" t="s">
        <v>41</v>
      </c>
      <c r="B9" s="15" t="s">
        <v>47</v>
      </c>
      <c r="C9" s="34">
        <f>COUNTIF(応募者入力!$E$5:$E$54,B9)</f>
        <v>2</v>
      </c>
      <c r="D9" s="34">
        <f>COUNTIFS(応募者入力!$E$5:$E$54,B9,応募者入力!$I$5:$I$54,"未入力あり")</f>
        <v>0</v>
      </c>
      <c r="E9" s="34">
        <f>COUNTIFS(応募者入力!$E$5:$E$54,B9,応募者入力!$I$5:$I$54,"重複確認")</f>
        <v>0</v>
      </c>
      <c r="F9" s="1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15" t="s">
        <v>48</v>
      </c>
      <c r="B10" s="15" t="s">
        <v>49</v>
      </c>
      <c r="C10" s="34">
        <f>COUNTIF(応募者入力!$E$5:$E$54,B10)</f>
        <v>0</v>
      </c>
      <c r="D10" s="34">
        <f>COUNTIFS(応募者入力!$E$5:$E$54,B10,応募者入力!$I$5:$I$54,"未入力あり")</f>
        <v>0</v>
      </c>
      <c r="E10" s="34">
        <f>COUNTIFS(応募者入力!$E$5:$E$54,B10,応募者入力!$I$5:$I$54,"重複確認")</f>
        <v>0</v>
      </c>
      <c r="F10" s="1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15" t="s">
        <v>48</v>
      </c>
      <c r="B11" s="15" t="s">
        <v>50</v>
      </c>
      <c r="C11" s="34">
        <f>COUNTIF(応募者入力!$E$5:$E$54,B11)</f>
        <v>0</v>
      </c>
      <c r="D11" s="34">
        <f>COUNTIFS(応募者入力!$E$5:$E$54,B11,応募者入力!$I$5:$I$54,"未入力あり")</f>
        <v>0</v>
      </c>
      <c r="E11" s="34">
        <f>COUNTIFS(応募者入力!$E$5:$E$54,B11,応募者入力!$I$5:$I$54,"重複確認")</f>
        <v>0</v>
      </c>
      <c r="F11" s="1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>
      <c r="A12" s="15" t="s">
        <v>48</v>
      </c>
      <c r="B12" s="15" t="s">
        <v>51</v>
      </c>
      <c r="C12" s="34">
        <f>COUNTIF(応募者入力!$E$5:$E$54,B12)</f>
        <v>0</v>
      </c>
      <c r="D12" s="34">
        <f>COUNTIFS(応募者入力!$E$5:$E$54,B12,応募者入力!$I$5:$I$54,"未入力あり")</f>
        <v>0</v>
      </c>
      <c r="E12" s="34">
        <f>COUNTIFS(応募者入力!$E$5:$E$54,B12,応募者入力!$I$5:$I$54,"重複確認")</f>
        <v>0</v>
      </c>
      <c r="F12" s="1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>
      <c r="A13" s="16" t="s">
        <v>52</v>
      </c>
      <c r="B13" s="16"/>
      <c r="C13" s="35">
        <f>SUM(C4:C12)</f>
        <v>7</v>
      </c>
      <c r="D13" s="35">
        <f>SUM(D4:D12)</f>
        <v>0</v>
      </c>
      <c r="E13" s="35">
        <f>SUM(E4:E12)</f>
        <v>0</v>
      </c>
      <c r="F13" s="1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52" t="s">
        <v>53</v>
      </c>
      <c r="B15" s="44"/>
      <c r="C15" s="44"/>
      <c r="D15" s="44"/>
      <c r="E15" s="44"/>
      <c r="F15" s="4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</sheetData>
  <mergeCells count="2">
    <mergeCell ref="A1:F1"/>
    <mergeCell ref="A15:F15"/>
  </mergeCells>
  <phoneticPr fontId="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120"/>
  <sheetViews>
    <sheetView workbookViewId="0">
      <selection activeCell="C20" sqref="C20"/>
    </sheetView>
  </sheetViews>
  <sheetFormatPr defaultRowHeight="14.25"/>
  <cols>
    <col min="1" max="1" width="16" customWidth="1"/>
    <col min="2" max="2" width="30.125" customWidth="1"/>
    <col min="3" max="3" width="48" customWidth="1"/>
    <col min="4" max="4" width="24" customWidth="1"/>
    <col min="6" max="6" width="14" customWidth="1"/>
  </cols>
  <sheetData>
    <row r="1" spans="1:26" ht="18.75" customHeight="1">
      <c r="A1" s="51" t="s">
        <v>54</v>
      </c>
      <c r="B1" s="44"/>
      <c r="C1" s="44"/>
      <c r="D1" s="4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2" t="s">
        <v>55</v>
      </c>
      <c r="B3" s="2" t="s">
        <v>56</v>
      </c>
      <c r="C3" s="2" t="s">
        <v>57</v>
      </c>
      <c r="D3" s="2" t="s">
        <v>8</v>
      </c>
      <c r="E3" s="1"/>
      <c r="F3" s="2" t="s">
        <v>58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1" t="s">
        <v>59</v>
      </c>
      <c r="B4" s="3" t="s">
        <v>60</v>
      </c>
      <c r="C4" s="1" t="s">
        <v>61</v>
      </c>
      <c r="D4" s="1"/>
      <c r="E4" s="1"/>
      <c r="F4" s="1" t="s">
        <v>42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" t="s">
        <v>2</v>
      </c>
      <c r="B5" s="1" t="s">
        <v>62</v>
      </c>
      <c r="C5" s="1" t="s">
        <v>63</v>
      </c>
      <c r="D5" s="1" t="s">
        <v>64</v>
      </c>
      <c r="E5" s="1"/>
      <c r="F5" s="1" t="s">
        <v>43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1" t="s">
        <v>3</v>
      </c>
      <c r="B6" s="37" t="s">
        <v>82</v>
      </c>
      <c r="C6" s="1" t="s">
        <v>65</v>
      </c>
      <c r="D6" s="1" t="s">
        <v>66</v>
      </c>
      <c r="E6" s="1"/>
      <c r="F6" s="1" t="s">
        <v>44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1" t="s">
        <v>4</v>
      </c>
      <c r="B7" s="37" t="s">
        <v>41</v>
      </c>
      <c r="C7" s="1" t="s">
        <v>67</v>
      </c>
      <c r="D7" s="1" t="s">
        <v>68</v>
      </c>
      <c r="E7" s="1"/>
      <c r="F7" s="1" t="s">
        <v>45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1" t="s">
        <v>69</v>
      </c>
      <c r="B8" s="1" t="s">
        <v>70</v>
      </c>
      <c r="C8" s="1" t="s">
        <v>71</v>
      </c>
      <c r="D8" s="1"/>
      <c r="E8" s="1"/>
      <c r="F8" s="1" t="s">
        <v>46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1" t="s">
        <v>72</v>
      </c>
      <c r="B9" s="1" t="s">
        <v>73</v>
      </c>
      <c r="C9" s="1"/>
      <c r="D9" s="1"/>
      <c r="E9" s="1"/>
      <c r="F9" s="1" t="s">
        <v>47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1"/>
      <c r="B10" s="1"/>
      <c r="C10" s="1"/>
      <c r="D10" s="1"/>
      <c r="E10" s="1"/>
      <c r="F10" s="1" t="s">
        <v>49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1"/>
      <c r="B11" s="1"/>
      <c r="C11" s="1"/>
      <c r="D11" s="1"/>
      <c r="E11" s="1"/>
      <c r="F11" s="1" t="s">
        <v>50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>
      <c r="A12" s="1"/>
      <c r="B12" s="1"/>
      <c r="C12" s="1"/>
      <c r="D12" s="1"/>
      <c r="E12" s="1"/>
      <c r="F12" s="1" t="s">
        <v>51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>
      <c r="A13" s="1"/>
      <c r="B13" s="1"/>
      <c r="C13" s="1"/>
      <c r="D13" s="1"/>
      <c r="E13" s="1"/>
      <c r="F13" s="1" t="s">
        <v>41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>
      <c r="A14" s="1"/>
      <c r="B14" s="1"/>
      <c r="C14" s="1"/>
      <c r="D14" s="1"/>
      <c r="E14" s="1"/>
      <c r="F14" s="1" t="s">
        <v>48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</sheetData>
  <mergeCells count="1">
    <mergeCell ref="A1:D1"/>
  </mergeCells>
  <phoneticPr fontId="13"/>
  <dataValidations count="4">
    <dataValidation sqref="B4:B6" xr:uid="{00000000-0002-0000-0500-000000000000}"/>
    <dataValidation type="list" sqref="B7" xr:uid="{00000000-0002-0000-0500-000001000000}">
      <formula1>"小学校,中学校"</formula1>
    </dataValidation>
    <dataValidation type="list" allowBlank="1" errorTitle="入力エラー" error="小学校または中学校を選択してください。" sqref="B7" xr:uid="{00000000-0002-0000-0500-000002000000}">
      <formula1>"小学校,中学校"</formula1>
    </dataValidation>
    <dataValidation type="list" sqref="B7" xr:uid="{15CE8870-4DAF-47A7-853D-BFD7A8650E3A}">
      <formula1>"小学校、中学校"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6"/>
  <sheetViews>
    <sheetView workbookViewId="0">
      <selection activeCell="B7" sqref="B7"/>
    </sheetView>
  </sheetViews>
  <sheetFormatPr defaultRowHeight="14.25"/>
  <cols>
    <col min="1" max="1" width="5" customWidth="1"/>
    <col min="2" max="2" width="99.25" customWidth="1"/>
  </cols>
  <sheetData>
    <row r="1" spans="1:2" ht="20.25" customHeight="1">
      <c r="A1" s="6" t="s">
        <v>74</v>
      </c>
    </row>
    <row r="3" spans="1:2" ht="28.5" customHeight="1">
      <c r="A3" s="8" t="s">
        <v>17</v>
      </c>
      <c r="B3" s="7" t="s">
        <v>75</v>
      </c>
    </row>
    <row r="4" spans="1:2">
      <c r="A4" s="8" t="s">
        <v>19</v>
      </c>
      <c r="B4" s="7" t="s">
        <v>76</v>
      </c>
    </row>
    <row r="5" spans="1:2">
      <c r="A5" s="8" t="s">
        <v>21</v>
      </c>
      <c r="B5" s="7" t="s">
        <v>77</v>
      </c>
    </row>
    <row r="6" spans="1:2">
      <c r="A6" s="8" t="s">
        <v>23</v>
      </c>
      <c r="B6" s="38" t="s">
        <v>85</v>
      </c>
    </row>
  </sheetData>
  <phoneticPr fontId="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はじめに</vt:lpstr>
      <vt:lpstr>応募者入力</vt:lpstr>
      <vt:lpstr>名札印刷</vt:lpstr>
      <vt:lpstr>名簿</vt:lpstr>
      <vt:lpstr>集計</vt:lpstr>
      <vt:lpstr>設定</vt:lpstr>
      <vt:lpstr>使い方</vt:lpstr>
      <vt:lpstr>小学校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宮川尚史</cp:lastModifiedBy>
  <cp:lastPrinted>2026-04-30T14:18:09Z</cp:lastPrinted>
  <dcterms:created xsi:type="dcterms:W3CDTF">2026-04-29T05:58:34Z</dcterms:created>
  <dcterms:modified xsi:type="dcterms:W3CDTF">2026-05-04T11:56:06Z</dcterms:modified>
</cp:coreProperties>
</file>